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77385643_nebraska_edu/Documents/Sophmore 2nd Semester/Cive202/Project 3/"/>
    </mc:Choice>
  </mc:AlternateContent>
  <xr:revisionPtr revIDLastSave="0" documentId="8_{BE6D7DC1-7BDC-4FC8-97B6-F8AF887946B1}" xr6:coauthVersionLast="47" xr6:coauthVersionMax="47" xr10:uidLastSave="{00000000-0000-0000-0000-000000000000}"/>
  <bookViews>
    <workbookView xWindow="-108" yWindow="-108" windowWidth="23256" windowHeight="12456" xr2:uid="{88FBD745-B4B1-4BD0-A175-D8449981C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F3" i="1"/>
  <c r="G7" i="1"/>
  <c r="G8" i="1"/>
  <c r="G9" i="1"/>
  <c r="G10" i="1"/>
  <c r="G11" i="1"/>
  <c r="F4" i="1"/>
  <c r="G4" i="1" s="1"/>
  <c r="F5" i="1"/>
  <c r="G5" i="1" s="1"/>
  <c r="F6" i="1"/>
  <c r="G6" i="1" s="1"/>
  <c r="F7" i="1"/>
  <c r="F8" i="1"/>
  <c r="F9" i="1"/>
  <c r="F10" i="1"/>
  <c r="F11" i="1"/>
  <c r="E4" i="1"/>
  <c r="E5" i="1"/>
  <c r="E6" i="1"/>
  <c r="E7" i="1"/>
  <c r="E8" i="1"/>
  <c r="E9" i="1"/>
  <c r="E10" i="1"/>
  <c r="E11" i="1"/>
  <c r="D3" i="1" a="1"/>
  <c r="D3" i="1" s="1"/>
  <c r="E3" i="1"/>
  <c r="G3" i="1" l="1"/>
  <c r="G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<sst xmlns="http://schemas.openxmlformats.org/spreadsheetml/2006/main" count="33" uniqueCount="25">
  <si>
    <t>Noah Morland</t>
  </si>
  <si>
    <t>Employee Name</t>
  </si>
  <si>
    <t>Task / Description</t>
  </si>
  <si>
    <t>Hours Worked</t>
  </si>
  <si>
    <t>Billing Rate ($/hr)</t>
  </si>
  <si>
    <t>Billable Amount ($)</t>
  </si>
  <si>
    <t>SOW</t>
  </si>
  <si>
    <t>Coding</t>
  </si>
  <si>
    <t>GITHUB REPO</t>
  </si>
  <si>
    <t>README</t>
  </si>
  <si>
    <t>QAQC</t>
  </si>
  <si>
    <t xml:space="preserve">Bill Rate </t>
  </si>
  <si>
    <t>Employee</t>
  </si>
  <si>
    <t>Report</t>
  </si>
  <si>
    <t>hours worked during session</t>
  </si>
  <si>
    <t>Gannt Chart</t>
  </si>
  <si>
    <t>ACD</t>
  </si>
  <si>
    <t>Engineering Timesheet</t>
  </si>
  <si>
    <t xml:space="preserve">NOTE: Sessions are not all recorded on same day This is simply an easier method of recording a date for a smaller project like this. </t>
  </si>
  <si>
    <t>Session # /Task</t>
  </si>
  <si>
    <t>Session 1</t>
  </si>
  <si>
    <t>Session 2</t>
  </si>
  <si>
    <t>Session 3</t>
  </si>
  <si>
    <t>Session 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</si>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</sst>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2" borderId="0" xfId="0" applyFill="1" applyBorder="1"/>
    <xf numFmtId="0" fontId="0" fillId="0" borderId="14" xfId="0" applyFill="1" applyBorder="1"/>
    <xf numFmtId="0" fontId="0" fillId="0" borderId="15" xfId="0" applyFill="1" applyBorder="1"/>
    <xf numFmtId="166" fontId="0" fillId="0" borderId="0" xfId="0" applyNumberFormat="1" applyBorder="1"/>
    <xf numFmtId="166" fontId="0" fillId="0" borderId="12" xfId="0" applyNumberFormat="1" applyBorder="1"/>
    <xf numFmtId="166" fontId="0" fillId="0" borderId="7" xfId="0" applyNumberFormat="1" applyBorder="1"/>
    <xf numFmtId="0" fontId="0" fillId="2" borderId="0" xfId="0" applyFill="1"/>
    <xf numFmtId="166" fontId="0" fillId="0" borderId="6" xfId="0" applyNumberFormat="1" applyBorder="1"/>
    <xf numFmtId="166" fontId="0" fillId="0" borderId="3" xfId="0" applyNumberFormat="1" applyBorder="1"/>
    <xf numFmtId="166" fontId="0" fillId="0" borderId="4" xfId="0" applyNumberFormat="1" applyBorder="1"/>
    <xf numFmtId="166" fontId="0" fillId="2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7B03-2F53-47CE-AB0A-51FA5A5E4830}">
  <dimension ref="B1:Q23"/>
  <sheetViews>
    <sheetView tabSelected="1" topLeftCell="B1" workbookViewId="0">
      <selection activeCell="F16" sqref="F16"/>
    </sheetView>
  </sheetViews>
  <sheetFormatPr defaultRowHeight="14.4" x14ac:dyDescent="0.3"/>
  <cols>
    <col min="2" max="3" width="14.109375" bestFit="1" customWidth="1"/>
    <col min="4" max="4" width="15.33203125" bestFit="1" customWidth="1"/>
    <col min="5" max="5" width="12.44140625" bestFit="1" customWidth="1"/>
    <col min="6" max="6" width="14.6640625" bestFit="1" customWidth="1"/>
    <col min="7" max="7" width="16" bestFit="1" customWidth="1"/>
    <col min="8" max="8" width="16" style="2" customWidth="1"/>
    <col min="9" max="9" width="12.21875" bestFit="1" customWidth="1"/>
    <col min="10" max="10" width="9.88671875" bestFit="1" customWidth="1"/>
    <col min="12" max="12" width="19.21875" bestFit="1" customWidth="1"/>
    <col min="13" max="13" width="8.5546875" bestFit="1" customWidth="1"/>
    <col min="14" max="14" width="23.88671875" bestFit="1" customWidth="1"/>
    <col min="15" max="15" width="8.5546875" bestFit="1" customWidth="1"/>
    <col min="17" max="17" width="105.44140625" bestFit="1" customWidth="1"/>
  </cols>
  <sheetData>
    <row r="1" spans="2:17" ht="15" thickBot="1" x14ac:dyDescent="0.35">
      <c r="N1" s="17" t="s">
        <v>14</v>
      </c>
    </row>
    <row r="2" spans="2:17" ht="15" thickBot="1" x14ac:dyDescent="0.35">
      <c r="C2" s="8" t="s">
        <v>1</v>
      </c>
      <c r="D2" s="9" t="s">
        <v>2</v>
      </c>
      <c r="E2" s="9" t="s">
        <v>3</v>
      </c>
      <c r="F2" s="9" t="s">
        <v>4</v>
      </c>
      <c r="G2" s="10" t="s">
        <v>5</v>
      </c>
      <c r="H2" s="12"/>
      <c r="Q2" s="23" t="s">
        <v>18</v>
      </c>
    </row>
    <row r="3" spans="2:17" ht="15" thickBot="1" x14ac:dyDescent="0.35">
      <c r="B3" s="2"/>
      <c r="C3" s="1" t="str">
        <f>I4</f>
        <v>Noah Morland</v>
      </c>
      <c r="D3" s="3" t="str" cm="1">
        <f t="array" ref="D3:D11">_xlfn.UNIQUE(L4:L4:L12)</f>
        <v>Coding</v>
      </c>
      <c r="E3" s="3">
        <f>SUM(M4:XFD4)</f>
        <v>13</v>
      </c>
      <c r="F3" s="25">
        <f>$J$4</f>
        <v>67</v>
      </c>
      <c r="G3" s="26">
        <f>F3*E3</f>
        <v>871</v>
      </c>
      <c r="H3" s="12"/>
      <c r="I3" s="8" t="s">
        <v>12</v>
      </c>
      <c r="J3" s="10" t="s">
        <v>11</v>
      </c>
      <c r="L3" s="16" t="s">
        <v>19</v>
      </c>
      <c r="M3" s="9" t="s">
        <v>20</v>
      </c>
      <c r="N3" s="9" t="s">
        <v>21</v>
      </c>
      <c r="O3" s="9" t="s">
        <v>22</v>
      </c>
      <c r="P3" s="10" t="s">
        <v>23</v>
      </c>
    </row>
    <row r="4" spans="2:17" ht="15" thickBot="1" x14ac:dyDescent="0.35">
      <c r="C4" s="11" t="s">
        <v>0</v>
      </c>
      <c r="D4" s="12" t="str">
        <v>SOW</v>
      </c>
      <c r="E4" s="12">
        <f t="shared" ref="E4:E11" si="0">SUM(M5:XFD5)</f>
        <v>4</v>
      </c>
      <c r="F4" s="20">
        <f t="shared" ref="F4:F11" si="1">$J$4</f>
        <v>67</v>
      </c>
      <c r="G4" s="21">
        <f t="shared" ref="G4:G11" si="2">F4*E4</f>
        <v>268</v>
      </c>
      <c r="H4" s="12"/>
      <c r="I4" s="5" t="s">
        <v>0</v>
      </c>
      <c r="J4" s="22">
        <v>67</v>
      </c>
      <c r="L4" s="14" t="s">
        <v>7</v>
      </c>
      <c r="M4" s="1">
        <v>3</v>
      </c>
      <c r="N4" s="3">
        <v>3</v>
      </c>
      <c r="O4" s="3">
        <v>3</v>
      </c>
      <c r="P4" s="4">
        <v>4</v>
      </c>
    </row>
    <row r="5" spans="2:17" x14ac:dyDescent="0.3">
      <c r="C5" s="11" t="s">
        <v>0</v>
      </c>
      <c r="D5" s="12" t="str">
        <v>GITHUB REPO</v>
      </c>
      <c r="E5" s="12">
        <f t="shared" si="0"/>
        <v>1</v>
      </c>
      <c r="F5" s="20">
        <f t="shared" si="1"/>
        <v>67</v>
      </c>
      <c r="G5" s="21">
        <f t="shared" si="2"/>
        <v>67</v>
      </c>
      <c r="H5" s="12"/>
      <c r="L5" s="15" t="s">
        <v>6</v>
      </c>
      <c r="M5" s="11">
        <v>2</v>
      </c>
      <c r="N5" s="12">
        <v>2</v>
      </c>
      <c r="O5" s="12"/>
      <c r="P5" s="13"/>
    </row>
    <row r="6" spans="2:17" x14ac:dyDescent="0.3">
      <c r="C6" s="11" t="s">
        <v>0</v>
      </c>
      <c r="D6" s="12" t="str">
        <v>README</v>
      </c>
      <c r="E6" s="12">
        <f t="shared" si="0"/>
        <v>1</v>
      </c>
      <c r="F6" s="20">
        <f t="shared" si="1"/>
        <v>67</v>
      </c>
      <c r="G6" s="21">
        <f t="shared" si="2"/>
        <v>67</v>
      </c>
      <c r="H6" s="12"/>
      <c r="L6" s="15" t="s">
        <v>8</v>
      </c>
      <c r="M6" s="11">
        <v>1</v>
      </c>
      <c r="N6" s="12"/>
      <c r="O6" s="12"/>
      <c r="P6" s="13"/>
    </row>
    <row r="7" spans="2:17" x14ac:dyDescent="0.3">
      <c r="C7" s="11" t="s">
        <v>0</v>
      </c>
      <c r="D7" s="12" t="str">
        <v>Report</v>
      </c>
      <c r="E7" s="12">
        <f t="shared" si="0"/>
        <v>2</v>
      </c>
      <c r="F7" s="20">
        <f t="shared" si="1"/>
        <v>67</v>
      </c>
      <c r="G7" s="21">
        <f t="shared" si="2"/>
        <v>134</v>
      </c>
      <c r="H7" s="12"/>
      <c r="L7" s="15" t="s">
        <v>9</v>
      </c>
      <c r="M7" s="11">
        <v>1</v>
      </c>
      <c r="N7" s="12"/>
      <c r="O7" s="12"/>
      <c r="P7" s="13"/>
    </row>
    <row r="8" spans="2:17" x14ac:dyDescent="0.3">
      <c r="C8" s="11" t="s">
        <v>0</v>
      </c>
      <c r="D8" s="12" t="str">
        <v>Gannt Chart</v>
      </c>
      <c r="E8" s="12">
        <f t="shared" si="0"/>
        <v>2</v>
      </c>
      <c r="F8" s="20">
        <f t="shared" si="1"/>
        <v>67</v>
      </c>
      <c r="G8" s="21">
        <f t="shared" si="2"/>
        <v>134</v>
      </c>
      <c r="H8" s="12"/>
      <c r="L8" s="18" t="s">
        <v>13</v>
      </c>
      <c r="M8" s="11">
        <v>2</v>
      </c>
      <c r="N8" s="12"/>
      <c r="O8" s="12"/>
      <c r="P8" s="13"/>
    </row>
    <row r="9" spans="2:17" x14ac:dyDescent="0.3">
      <c r="C9" s="11" t="s">
        <v>0</v>
      </c>
      <c r="D9" s="12" t="str">
        <v>ACD</v>
      </c>
      <c r="E9" s="12">
        <f t="shared" si="0"/>
        <v>1</v>
      </c>
      <c r="F9" s="20">
        <f t="shared" si="1"/>
        <v>67</v>
      </c>
      <c r="G9" s="21">
        <f t="shared" si="2"/>
        <v>67</v>
      </c>
      <c r="H9" s="12"/>
      <c r="L9" s="18" t="s">
        <v>15</v>
      </c>
      <c r="M9" s="11">
        <v>2</v>
      </c>
      <c r="N9" s="12"/>
      <c r="O9" s="12"/>
      <c r="P9" s="13"/>
    </row>
    <row r="10" spans="2:17" x14ac:dyDescent="0.3">
      <c r="C10" s="11" t="s">
        <v>0</v>
      </c>
      <c r="D10" s="12" t="str">
        <v>QAQC</v>
      </c>
      <c r="E10" s="12">
        <f t="shared" si="0"/>
        <v>2</v>
      </c>
      <c r="F10" s="20">
        <f t="shared" si="1"/>
        <v>67</v>
      </c>
      <c r="G10" s="21">
        <f t="shared" si="2"/>
        <v>134</v>
      </c>
      <c r="H10" s="12"/>
      <c r="L10" s="15" t="s">
        <v>16</v>
      </c>
      <c r="M10" s="11">
        <v>1</v>
      </c>
      <c r="N10" s="12"/>
      <c r="O10" s="12"/>
      <c r="P10" s="13"/>
    </row>
    <row r="11" spans="2:17" ht="15" thickBot="1" x14ac:dyDescent="0.35">
      <c r="C11" s="5" t="s">
        <v>0</v>
      </c>
      <c r="D11" s="6" t="str">
        <v>Engineering Timesheet</v>
      </c>
      <c r="E11" s="6">
        <f t="shared" si="0"/>
        <v>1</v>
      </c>
      <c r="F11" s="24">
        <f t="shared" si="1"/>
        <v>67</v>
      </c>
      <c r="G11" s="22">
        <f t="shared" si="2"/>
        <v>67</v>
      </c>
      <c r="H11" s="12"/>
      <c r="L11" s="18" t="s">
        <v>10</v>
      </c>
      <c r="M11" s="11">
        <v>2</v>
      </c>
      <c r="N11" s="12"/>
      <c r="O11" s="12"/>
      <c r="P11" s="13"/>
    </row>
    <row r="12" spans="2:17" ht="15" thickBot="1" x14ac:dyDescent="0.35">
      <c r="C12" s="12"/>
      <c r="D12" s="12"/>
      <c r="E12" s="12"/>
      <c r="F12" s="8" t="s">
        <v>24</v>
      </c>
      <c r="G12" s="27">
        <f>SUM(G3:G11)</f>
        <v>1809</v>
      </c>
      <c r="H12" s="12"/>
      <c r="L12" s="19" t="s">
        <v>17</v>
      </c>
      <c r="M12" s="5">
        <v>1</v>
      </c>
      <c r="N12" s="6"/>
      <c r="O12" s="6"/>
      <c r="P12" s="7"/>
    </row>
    <row r="13" spans="2:17" x14ac:dyDescent="0.3">
      <c r="C13" s="12"/>
      <c r="D13" s="12"/>
      <c r="E13" s="12"/>
      <c r="F13" s="12"/>
      <c r="G13" s="12"/>
      <c r="H13" s="12"/>
    </row>
    <row r="14" spans="2:17" x14ac:dyDescent="0.3">
      <c r="C14" s="12"/>
      <c r="D14" s="12"/>
      <c r="E14" s="12"/>
      <c r="F14" s="12"/>
      <c r="G14" s="12"/>
      <c r="H14" s="12"/>
    </row>
    <row r="15" spans="2:17" x14ac:dyDescent="0.3">
      <c r="C15" s="12"/>
      <c r="D15" s="12"/>
      <c r="E15" s="12"/>
      <c r="F15" s="12"/>
      <c r="G15" s="12"/>
      <c r="H15" s="12"/>
    </row>
    <row r="16" spans="2:17" x14ac:dyDescent="0.3">
      <c r="C16" s="12"/>
      <c r="D16" s="12"/>
      <c r="E16" s="12"/>
      <c r="F16" s="12"/>
      <c r="G16" s="12"/>
      <c r="H16" s="12"/>
    </row>
    <row r="17" spans="3:8" x14ac:dyDescent="0.3">
      <c r="C17" s="12"/>
      <c r="D17" s="12"/>
      <c r="E17" s="12"/>
      <c r="F17" s="12"/>
      <c r="G17" s="12"/>
      <c r="H17" s="12"/>
    </row>
    <row r="18" spans="3:8" x14ac:dyDescent="0.3">
      <c r="C18" s="12"/>
      <c r="D18" s="12"/>
      <c r="E18" s="12"/>
      <c r="F18" s="12"/>
      <c r="G18" s="12"/>
      <c r="H18" s="12"/>
    </row>
    <row r="19" spans="3:8" x14ac:dyDescent="0.3">
      <c r="C19" s="12"/>
      <c r="D19" s="12"/>
      <c r="E19" s="12"/>
      <c r="F19" s="12"/>
      <c r="G19" s="12"/>
      <c r="H19" s="12"/>
    </row>
    <row r="20" spans="3:8" x14ac:dyDescent="0.3">
      <c r="C20" s="12"/>
      <c r="D20" s="12"/>
      <c r="E20" s="12"/>
      <c r="F20" s="12"/>
      <c r="G20" s="12"/>
      <c r="H20" s="12"/>
    </row>
    <row r="21" spans="3:8" x14ac:dyDescent="0.3">
      <c r="C21" s="12"/>
      <c r="D21" s="12"/>
      <c r="E21" s="12"/>
      <c r="F21" s="12"/>
      <c r="G21" s="12"/>
      <c r="H21" s="12"/>
    </row>
    <row r="22" spans="3:8" x14ac:dyDescent="0.3">
      <c r="C22" s="12"/>
      <c r="D22" s="12"/>
      <c r="E22" s="12"/>
      <c r="F22" s="12"/>
      <c r="G22" s="12"/>
      <c r="H22" s="12"/>
    </row>
    <row r="23" spans="3:8" x14ac:dyDescent="0.3">
      <c r="C23" s="12"/>
      <c r="D23" s="12"/>
      <c r="E23" s="12"/>
      <c r="F23" s="12"/>
      <c r="G23" s="12"/>
      <c r="H2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Morland</dc:creator>
  <cp:lastModifiedBy>Noah Morland</cp:lastModifiedBy>
  <dcterms:created xsi:type="dcterms:W3CDTF">2026-03-31T05:00:33Z</dcterms:created>
  <dcterms:modified xsi:type="dcterms:W3CDTF">2026-03-31T05:24:54Z</dcterms:modified>
</cp:coreProperties>
</file>