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uofnebraska-my.sharepoint.com/personal/77385643_nebraska_edu/Documents/Sophmore 2nd Semester/Cive202/Project 3/"/>
    </mc:Choice>
  </mc:AlternateContent>
  <xr:revisionPtr revIDLastSave="240" documentId="8_{A4AE53FC-3D7C-47A1-99BF-13E623688605}" xr6:coauthVersionLast="47" xr6:coauthVersionMax="47" xr10:uidLastSave="{A5D050D5-A091-4CC5-8F58-55E756ECE8A5}"/>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I5" i="11" l="1"/>
  <c r="H32" i="11"/>
  <c r="H31" i="11"/>
  <c r="H24" i="11"/>
  <c r="H20" i="11"/>
  <c r="H15" i="11"/>
  <c r="H9" i="11"/>
  <c r="H21" i="11" l="1"/>
  <c r="H10" i="11"/>
  <c r="I6" i="11"/>
  <c r="H30" i="11" l="1"/>
  <c r="H29" i="11"/>
  <c r="H26" i="11"/>
  <c r="H23" i="11"/>
  <c r="H11" i="11"/>
  <c r="H22" i="11"/>
  <c r="H16" i="11"/>
  <c r="H14" i="11"/>
  <c r="J5" i="11"/>
  <c r="K5" i="11" s="1"/>
  <c r="L5" i="11" s="1"/>
  <c r="M5" i="11" s="1"/>
  <c r="N5" i="11" s="1"/>
  <c r="O5" i="11" s="1"/>
  <c r="P5" i="11" s="1"/>
  <c r="I4" i="11"/>
  <c r="H27" i="11" l="1"/>
  <c r="H18" i="11"/>
  <c r="H12" i="11"/>
  <c r="H13" i="11"/>
  <c r="P4" i="11"/>
  <c r="Q5" i="11"/>
  <c r="R5" i="11" s="1"/>
  <c r="S5" i="11" s="1"/>
  <c r="T5" i="11" s="1"/>
  <c r="U5" i="11" s="1"/>
  <c r="V5" i="11" s="1"/>
  <c r="W5" i="11" s="1"/>
  <c r="J6" i="11"/>
  <c r="H19" i="11" l="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W6" i="11"/>
  <c r="S6" i="11"/>
  <c r="AX6" i="11" l="1"/>
  <c r="T6" i="11"/>
  <c r="U6" i="11" l="1"/>
  <c r="V6" i="11" l="1"/>
  <c r="W6" i="11" l="1"/>
  <c r="X6" i="11" l="1"/>
  <c r="Y6" i="11" l="1"/>
  <c r="Z6" i="11" l="1"/>
  <c r="AA6" i="11" l="1"/>
  <c r="AB6" i="11" l="1"/>
  <c r="AC6" i="11" l="1"/>
  <c r="AD6" i="11" l="1"/>
  <c r="AE6" i="11" l="1"/>
  <c r="AF6" i="11" l="1"/>
  <c r="AG6" i="11" l="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<sst xmlns="http://schemas.openxmlformats.org/spreadsheetml/2006/main" count="105" uniqueCount="73">
  <si>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</si>
  <si>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</si>
  <si>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</si>
  <si>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</si>
  <si>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</si>
  <si>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</si>
  <si>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</si>
  <si>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</si>
  <si>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</si>
  <si>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</si>
  <si>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</si>
  <si>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</si>
  <si>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</si>
  <si>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</si>
  <si>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</si>
  <si>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</si>
  <si>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</si>
  <si>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</si>
  <si>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</si>
  <si>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</si>
  <si>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</si>
  <si>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</si>
  <si>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Project #3</t>
  </si>
  <si>
    <t xml:space="preserve">Github Repository </t>
  </si>
  <si>
    <t>Create README</t>
  </si>
  <si>
    <t>Scope of Work</t>
  </si>
  <si>
    <t>Identify Clients Tasks</t>
  </si>
  <si>
    <t>Lab 1 Material</t>
  </si>
  <si>
    <t>Lab 2 Material</t>
  </si>
  <si>
    <t>Lab 3 Material</t>
  </si>
  <si>
    <t>Annotated Code Document</t>
  </si>
  <si>
    <t>Written Report</t>
  </si>
  <si>
    <t>Bar Chart</t>
  </si>
  <si>
    <t>Histogram</t>
  </si>
  <si>
    <t>Boxplot</t>
  </si>
  <si>
    <t>Import CSV into Python</t>
  </si>
  <si>
    <t xml:space="preserve">Lab 4 Material </t>
  </si>
  <si>
    <t>Project Lead: Noah Morland</t>
  </si>
  <si>
    <t xml:space="preserve">Noah </t>
  </si>
  <si>
    <t>Noah</t>
  </si>
  <si>
    <t>Gantt Chart</t>
  </si>
  <si>
    <t>Create Gantt Chart</t>
  </si>
  <si>
    <t xml:space="preserve">Code from Lab 4  </t>
  </si>
  <si>
    <t xml:space="preserve">Code from Lab 3 </t>
  </si>
  <si>
    <t xml:space="preserve">Code from Lab 2 </t>
  </si>
  <si>
    <t xml:space="preserve">Code from Lab 1 </t>
  </si>
  <si>
    <t>Write Report</t>
  </si>
  <si>
    <t>Create GitHub repository</t>
  </si>
  <si>
    <t>Upload Files Github</t>
  </si>
  <si>
    <t>Submit Project</t>
  </si>
  <si>
    <t>Make SOW</t>
  </si>
  <si>
    <t>Update Gannt Chart</t>
  </si>
  <si>
    <t>Document Time on each task</t>
  </si>
  <si>
    <t>Charts</t>
  </si>
  <si>
    <t>Time series plot  1</t>
  </si>
  <si>
    <t>Time series plot 2</t>
  </si>
  <si>
    <t>Put CSV into Python</t>
  </si>
  <si>
    <t>Plot using matplotlib or seaborn</t>
  </si>
  <si>
    <t>Task 1</t>
  </si>
  <si>
    <t>Need to be completed before</t>
  </si>
  <si>
    <t>Task 2</t>
  </si>
  <si>
    <t>Once arrow above is completed can start on this task</t>
  </si>
  <si>
    <t xml:space="preserve">This is just a draft and time on tasks is an estimate of when tasks will be completed and may change based on what tasks will be completed in labs and other factors. </t>
  </si>
  <si>
    <t>IDM Simulation</t>
  </si>
  <si>
    <t>Put IDM model in Python</t>
  </si>
  <si>
    <t>Run Simulations</t>
  </si>
  <si>
    <t>Plot Data</t>
  </si>
  <si>
    <t>Check results/data</t>
  </si>
  <si>
    <t xml:space="preserve">QAQC </t>
  </si>
  <si>
    <t>IDM</t>
  </si>
  <si>
    <t xml:space="preserve"> Code</t>
  </si>
  <si>
    <t>Github</t>
  </si>
  <si>
    <t>2/29/26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</si>
</sst>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9"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8"/>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1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167" fontId="19" fillId="12" borderId="16" xfId="0" applyNumberFormat="1" applyFont="1" applyFill="1" applyBorder="1" applyAlignment="1">
      <alignment horizontal="center" vertical="center"/>
    </xf>
    <xf numFmtId="167" fontId="19" fillId="12" borderId="14" xfId="0" applyNumberFormat="1" applyFont="1" applyFill="1" applyBorder="1" applyAlignment="1">
      <alignment horizontal="center" vertical="center"/>
    </xf>
    <xf numFmtId="167" fontId="19" fillId="12" borderId="15" xfId="0" applyNumberFormat="1" applyFont="1" applyFill="1" applyBorder="1" applyAlignment="1">
      <alignment horizontal="center" vertical="center"/>
    </xf>
    <xf numFmtId="0" fontId="20" fillId="2" borderId="13" xfId="0" applyFont="1" applyFill="1" applyBorder="1" applyAlignment="1">
      <alignment horizontal="center" vertical="center" shrinkToFit="1"/>
    </xf>
    <xf numFmtId="0" fontId="20" fillId="2" borderId="11"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9" fontId="1" fillId="10" borderId="9" xfId="2" applyFont="1" applyFill="1" applyBorder="1" applyAlignment="1">
      <alignment horizontal="center" vertical="center"/>
    </xf>
    <xf numFmtId="164" fontId="17" fillId="10" borderId="9" xfId="10" applyFont="1" applyFill="1" applyBorder="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18" fillId="11" borderId="12" xfId="0" applyFont="1" applyFill="1" applyBorder="1" applyAlignment="1">
      <alignment horizontal="center" vertical="center"/>
    </xf>
    <xf numFmtId="0" fontId="4" fillId="2" borderId="17" xfId="0" applyFont="1" applyFill="1" applyBorder="1"/>
    <xf numFmtId="0" fontId="18" fillId="11" borderId="12" xfId="0" applyFont="1" applyFill="1" applyBorder="1" applyAlignment="1">
      <alignment horizontal="left" vertical="center" indent="1"/>
    </xf>
    <xf numFmtId="0" fontId="4" fillId="2" borderId="17" xfId="0" applyFont="1" applyFill="1" applyBorder="1" applyAlignment="1">
      <alignment horizontal="left" indent="1"/>
    </xf>
    <xf numFmtId="0" fontId="18" fillId="11" borderId="12" xfId="0" applyFont="1" applyFill="1" applyBorder="1" applyAlignment="1">
      <alignment vertical="center"/>
    </xf>
    <xf numFmtId="0" fontId="21" fillId="3" borderId="6" xfId="12" applyFont="1" applyFill="1" applyBorder="1">
      <alignment horizontal="left" vertical="center" indent="2"/>
    </xf>
    <xf numFmtId="0" fontId="11" fillId="0" borderId="0" xfId="3" applyAlignment="1">
      <alignment wrapText="1"/>
    </xf>
    <xf numFmtId="166" fontId="17" fillId="2" borderId="15" xfId="0" applyNumberFormat="1" applyFont="1" applyFill="1" applyBorder="1" applyAlignment="1">
      <alignment horizontal="center" vertical="center" wrapText="1"/>
    </xf>
    <xf numFmtId="166" fontId="17" fillId="2" borderId="16" xfId="0" applyNumberFormat="1" applyFont="1" applyFill="1" applyBorder="1" applyAlignment="1">
      <alignment horizontal="center" vertical="center" wrapText="1"/>
    </xf>
    <xf numFmtId="166" fontId="17" fillId="2" borderId="14" xfId="0" applyNumberFormat="1" applyFont="1" applyFill="1" applyBorder="1" applyAlignment="1">
      <alignment horizontal="center" vertical="center" wrapText="1"/>
    </xf>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3">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8"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2"/>
      <tableStyleElement type="headerRow" dxfId="31"/>
      <tableStyleElement type="totalRow" dxfId="30"/>
      <tableStyleElement type="firstColumn" dxfId="29"/>
      <tableStyleElement type="lastColumn" dxfId="28"/>
      <tableStyleElement type="firstRowStripe" dxfId="27"/>
      <tableStyleElement type="secondRowStripe" dxfId="26"/>
      <tableStyleElement type="firstColumnStripe" dxfId="25"/>
      <tableStyleElement type="secondColumnStripe" dxfId="2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50</xdr:col>
      <xdr:colOff>148166</xdr:colOff>
      <xdr:row>8</xdr:row>
      <xdr:rowOff>74083</xdr:rowOff>
    </xdr:from>
    <xdr:to>
      <xdr:col>50</xdr:col>
      <xdr:colOff>169333</xdr:colOff>
      <xdr:row>49</xdr:row>
      <xdr:rowOff>0</xdr:rowOff>
    </xdr:to>
    <xdr:cxnSp macro="">
      <xdr:nvCxnSpPr>
        <xdr:cNvPr id="9" name="Straight Connector 8">
          <a:extLst>
            <a:ext uri="{FF2B5EF4-FFF2-40B4-BE49-F238E27FC236}">
              <a16:creationId xmlns:a16="http://schemas.microsoft.com/office/drawing/2014/main" id="{90592178-D5F1-AB5E-FBC0-25F0AA05DD76}"/>
            </a:ext>
          </a:extLst>
        </xdr:cNvPr>
        <xdr:cNvCxnSpPr/>
      </xdr:nvCxnSpPr>
      <xdr:spPr>
        <a:xfrm flipH="1" flipV="1">
          <a:off x="16668749" y="2741083"/>
          <a:ext cx="21167" cy="1892300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38</xdr:col>
      <xdr:colOff>48846</xdr:colOff>
      <xdr:row>21</xdr:row>
      <xdr:rowOff>146539</xdr:rowOff>
    </xdr:from>
    <xdr:to>
      <xdr:col>50</xdr:col>
      <xdr:colOff>160421</xdr:colOff>
      <xdr:row>21</xdr:row>
      <xdr:rowOff>160421</xdr:rowOff>
    </xdr:to>
    <xdr:cxnSp macro="">
      <xdr:nvCxnSpPr>
        <xdr:cNvPr id="5" name="Straight Arrow Connector 4">
          <a:extLst>
            <a:ext uri="{FF2B5EF4-FFF2-40B4-BE49-F238E27FC236}">
              <a16:creationId xmlns:a16="http://schemas.microsoft.com/office/drawing/2014/main" id="{6B12974A-5B12-A565-F551-153487E89C0E}"/>
            </a:ext>
          </a:extLst>
        </xdr:cNvPr>
        <xdr:cNvCxnSpPr/>
      </xdr:nvCxnSpPr>
      <xdr:spPr>
        <a:xfrm>
          <a:off x="14282615" y="7395308"/>
          <a:ext cx="2573421" cy="13882"/>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38</xdr:col>
      <xdr:colOff>187158</xdr:colOff>
      <xdr:row>11</xdr:row>
      <xdr:rowOff>173790</xdr:rowOff>
    </xdr:from>
    <xdr:to>
      <xdr:col>50</xdr:col>
      <xdr:colOff>160421</xdr:colOff>
      <xdr:row>11</xdr:row>
      <xdr:rowOff>200527</xdr:rowOff>
    </xdr:to>
    <xdr:cxnSp macro="">
      <xdr:nvCxnSpPr>
        <xdr:cNvPr id="16" name="Straight Arrow Connector 15">
          <a:extLst>
            <a:ext uri="{FF2B5EF4-FFF2-40B4-BE49-F238E27FC236}">
              <a16:creationId xmlns:a16="http://schemas.microsoft.com/office/drawing/2014/main" id="{632E1CBD-C173-E16C-07EC-217EB2CA5FEF}"/>
            </a:ext>
          </a:extLst>
        </xdr:cNvPr>
        <xdr:cNvCxnSpPr/>
      </xdr:nvCxnSpPr>
      <xdr:spPr>
        <a:xfrm flipH="1" flipV="1">
          <a:off x="14290842" y="4023895"/>
          <a:ext cx="2379579" cy="26737"/>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52</xdr:col>
      <xdr:colOff>53473</xdr:colOff>
      <xdr:row>8</xdr:row>
      <xdr:rowOff>120315</xdr:rowOff>
    </xdr:from>
    <xdr:to>
      <xdr:col>52</xdr:col>
      <xdr:colOff>93579</xdr:colOff>
      <xdr:row>49</xdr:row>
      <xdr:rowOff>0</xdr:rowOff>
    </xdr:to>
    <xdr:cxnSp macro="">
      <xdr:nvCxnSpPr>
        <xdr:cNvPr id="20" name="Straight Connector 19">
          <a:extLst>
            <a:ext uri="{FF2B5EF4-FFF2-40B4-BE49-F238E27FC236}">
              <a16:creationId xmlns:a16="http://schemas.microsoft.com/office/drawing/2014/main" id="{5D856871-1E04-B75D-2D3D-3510B2658927}"/>
            </a:ext>
          </a:extLst>
        </xdr:cNvPr>
        <xdr:cNvCxnSpPr/>
      </xdr:nvCxnSpPr>
      <xdr:spPr>
        <a:xfrm>
          <a:off x="16964526" y="2807368"/>
          <a:ext cx="40106" cy="19223790"/>
        </a:xfrm>
        <a:prstGeom prst="line">
          <a:avLst/>
        </a:prstGeo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27</xdr:col>
      <xdr:colOff>173789</xdr:colOff>
      <xdr:row>34</xdr:row>
      <xdr:rowOff>133684</xdr:rowOff>
    </xdr:from>
    <xdr:to>
      <xdr:col>52</xdr:col>
      <xdr:colOff>53473</xdr:colOff>
      <xdr:row>34</xdr:row>
      <xdr:rowOff>173789</xdr:rowOff>
    </xdr:to>
    <xdr:cxnSp macro="">
      <xdr:nvCxnSpPr>
        <xdr:cNvPr id="22" name="Straight Arrow Connector 21">
          <a:extLst>
            <a:ext uri="{FF2B5EF4-FFF2-40B4-BE49-F238E27FC236}">
              <a16:creationId xmlns:a16="http://schemas.microsoft.com/office/drawing/2014/main" id="{92110F03-AFBF-8B64-087E-38E93A72AD8E}"/>
            </a:ext>
          </a:extLst>
        </xdr:cNvPr>
        <xdr:cNvCxnSpPr/>
      </xdr:nvCxnSpPr>
      <xdr:spPr>
        <a:xfrm flipV="1">
          <a:off x="12071684" y="14063579"/>
          <a:ext cx="4892842" cy="40105"/>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29</xdr:col>
      <xdr:colOff>0</xdr:colOff>
      <xdr:row>35</xdr:row>
      <xdr:rowOff>173789</xdr:rowOff>
    </xdr:from>
    <xdr:to>
      <xdr:col>52</xdr:col>
      <xdr:colOff>13368</xdr:colOff>
      <xdr:row>35</xdr:row>
      <xdr:rowOff>213895</xdr:rowOff>
    </xdr:to>
    <xdr:cxnSp macro="">
      <xdr:nvCxnSpPr>
        <xdr:cNvPr id="24" name="Straight Arrow Connector 23">
          <a:extLst>
            <a:ext uri="{FF2B5EF4-FFF2-40B4-BE49-F238E27FC236}">
              <a16:creationId xmlns:a16="http://schemas.microsoft.com/office/drawing/2014/main" id="{AFD18640-A914-F7E3-97A4-14BD8703996E}"/>
            </a:ext>
          </a:extLst>
        </xdr:cNvPr>
        <xdr:cNvCxnSpPr/>
      </xdr:nvCxnSpPr>
      <xdr:spPr>
        <a:xfrm>
          <a:off x="12298947" y="14491368"/>
          <a:ext cx="4625474" cy="40106"/>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30</xdr:col>
      <xdr:colOff>13368</xdr:colOff>
      <xdr:row>36</xdr:row>
      <xdr:rowOff>147053</xdr:rowOff>
    </xdr:from>
    <xdr:to>
      <xdr:col>52</xdr:col>
      <xdr:colOff>53473</xdr:colOff>
      <xdr:row>36</xdr:row>
      <xdr:rowOff>173790</xdr:rowOff>
    </xdr:to>
    <xdr:cxnSp macro="">
      <xdr:nvCxnSpPr>
        <xdr:cNvPr id="27" name="Straight Arrow Connector 26">
          <a:extLst>
            <a:ext uri="{FF2B5EF4-FFF2-40B4-BE49-F238E27FC236}">
              <a16:creationId xmlns:a16="http://schemas.microsoft.com/office/drawing/2014/main" id="{1ABD5F2D-416F-12DE-DCBD-28910A9E7933}"/>
            </a:ext>
          </a:extLst>
        </xdr:cNvPr>
        <xdr:cNvCxnSpPr/>
      </xdr:nvCxnSpPr>
      <xdr:spPr>
        <a:xfrm flipV="1">
          <a:off x="12512842" y="14852316"/>
          <a:ext cx="4451684" cy="26737"/>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31</xdr:col>
      <xdr:colOff>13368</xdr:colOff>
      <xdr:row>37</xdr:row>
      <xdr:rowOff>120316</xdr:rowOff>
    </xdr:from>
    <xdr:to>
      <xdr:col>52</xdr:col>
      <xdr:colOff>80210</xdr:colOff>
      <xdr:row>37</xdr:row>
      <xdr:rowOff>187158</xdr:rowOff>
    </xdr:to>
    <xdr:cxnSp macro="">
      <xdr:nvCxnSpPr>
        <xdr:cNvPr id="29" name="Straight Arrow Connector 28">
          <a:extLst>
            <a:ext uri="{FF2B5EF4-FFF2-40B4-BE49-F238E27FC236}">
              <a16:creationId xmlns:a16="http://schemas.microsoft.com/office/drawing/2014/main" id="{1BD3997A-72C7-29CC-2F82-C856CA24D7EF}"/>
            </a:ext>
          </a:extLst>
        </xdr:cNvPr>
        <xdr:cNvCxnSpPr/>
      </xdr:nvCxnSpPr>
      <xdr:spPr>
        <a:xfrm flipV="1">
          <a:off x="12713368" y="15213263"/>
          <a:ext cx="4277895" cy="66842"/>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32</xdr:col>
      <xdr:colOff>0</xdr:colOff>
      <xdr:row>38</xdr:row>
      <xdr:rowOff>187157</xdr:rowOff>
    </xdr:from>
    <xdr:to>
      <xdr:col>52</xdr:col>
      <xdr:colOff>66842</xdr:colOff>
      <xdr:row>38</xdr:row>
      <xdr:rowOff>200526</xdr:rowOff>
    </xdr:to>
    <xdr:cxnSp macro="">
      <xdr:nvCxnSpPr>
        <xdr:cNvPr id="31" name="Straight Arrow Connector 30">
          <a:extLst>
            <a:ext uri="{FF2B5EF4-FFF2-40B4-BE49-F238E27FC236}">
              <a16:creationId xmlns:a16="http://schemas.microsoft.com/office/drawing/2014/main" id="{712D73E5-B094-CE68-956A-B50A4F417777}"/>
            </a:ext>
          </a:extLst>
        </xdr:cNvPr>
        <xdr:cNvCxnSpPr/>
      </xdr:nvCxnSpPr>
      <xdr:spPr>
        <a:xfrm flipV="1">
          <a:off x="12900526" y="15667789"/>
          <a:ext cx="4077369" cy="13369"/>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53</xdr:col>
      <xdr:colOff>173789</xdr:colOff>
      <xdr:row>8</xdr:row>
      <xdr:rowOff>147052</xdr:rowOff>
    </xdr:from>
    <xdr:to>
      <xdr:col>54</xdr:col>
      <xdr:colOff>40106</xdr:colOff>
      <xdr:row>49</xdr:row>
      <xdr:rowOff>13369</xdr:rowOff>
    </xdr:to>
    <xdr:cxnSp macro="">
      <xdr:nvCxnSpPr>
        <xdr:cNvPr id="35" name="Straight Connector 34">
          <a:extLst>
            <a:ext uri="{FF2B5EF4-FFF2-40B4-BE49-F238E27FC236}">
              <a16:creationId xmlns:a16="http://schemas.microsoft.com/office/drawing/2014/main" id="{22383CA3-0AAB-C902-2FA5-566402200B98}"/>
            </a:ext>
          </a:extLst>
        </xdr:cNvPr>
        <xdr:cNvCxnSpPr/>
      </xdr:nvCxnSpPr>
      <xdr:spPr>
        <a:xfrm>
          <a:off x="17285368" y="2834105"/>
          <a:ext cx="66843" cy="19250527"/>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14</xdr:col>
      <xdr:colOff>40105</xdr:colOff>
      <xdr:row>24</xdr:row>
      <xdr:rowOff>200527</xdr:rowOff>
    </xdr:from>
    <xdr:to>
      <xdr:col>53</xdr:col>
      <xdr:colOff>187158</xdr:colOff>
      <xdr:row>24</xdr:row>
      <xdr:rowOff>200527</xdr:rowOff>
    </xdr:to>
    <xdr:cxnSp macro="">
      <xdr:nvCxnSpPr>
        <xdr:cNvPr id="37" name="Straight Arrow Connector 36">
          <a:extLst>
            <a:ext uri="{FF2B5EF4-FFF2-40B4-BE49-F238E27FC236}">
              <a16:creationId xmlns:a16="http://schemas.microsoft.com/office/drawing/2014/main" id="{A3810DCA-F7ED-997E-6D23-D983C0B92331}"/>
            </a:ext>
          </a:extLst>
        </xdr:cNvPr>
        <xdr:cNvCxnSpPr/>
      </xdr:nvCxnSpPr>
      <xdr:spPr>
        <a:xfrm>
          <a:off x="9331158" y="9478211"/>
          <a:ext cx="7967579"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53474</xdr:colOff>
      <xdr:row>25</xdr:row>
      <xdr:rowOff>173790</xdr:rowOff>
    </xdr:from>
    <xdr:to>
      <xdr:col>54</xdr:col>
      <xdr:colOff>0</xdr:colOff>
      <xdr:row>25</xdr:row>
      <xdr:rowOff>200527</xdr:rowOff>
    </xdr:to>
    <xdr:cxnSp macro="">
      <xdr:nvCxnSpPr>
        <xdr:cNvPr id="39" name="Straight Arrow Connector 38">
          <a:extLst>
            <a:ext uri="{FF2B5EF4-FFF2-40B4-BE49-F238E27FC236}">
              <a16:creationId xmlns:a16="http://schemas.microsoft.com/office/drawing/2014/main" id="{CDC6AA25-0140-B3C5-848A-7E299964FDC9}"/>
            </a:ext>
          </a:extLst>
        </xdr:cNvPr>
        <xdr:cNvCxnSpPr/>
      </xdr:nvCxnSpPr>
      <xdr:spPr>
        <a:xfrm flipV="1">
          <a:off x="10748211" y="9839158"/>
          <a:ext cx="6563894" cy="26737"/>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28</xdr:col>
      <xdr:colOff>13368</xdr:colOff>
      <xdr:row>26</xdr:row>
      <xdr:rowOff>187158</xdr:rowOff>
    </xdr:from>
    <xdr:to>
      <xdr:col>54</xdr:col>
      <xdr:colOff>13369</xdr:colOff>
      <xdr:row>26</xdr:row>
      <xdr:rowOff>200526</xdr:rowOff>
    </xdr:to>
    <xdr:cxnSp macro="">
      <xdr:nvCxnSpPr>
        <xdr:cNvPr id="41" name="Straight Arrow Connector 40">
          <a:extLst>
            <a:ext uri="{FF2B5EF4-FFF2-40B4-BE49-F238E27FC236}">
              <a16:creationId xmlns:a16="http://schemas.microsoft.com/office/drawing/2014/main" id="{B78A317F-ABD2-233B-1BC3-39C914A53C71}"/>
            </a:ext>
          </a:extLst>
        </xdr:cNvPr>
        <xdr:cNvCxnSpPr/>
      </xdr:nvCxnSpPr>
      <xdr:spPr>
        <a:xfrm>
          <a:off x="12111789" y="10240211"/>
          <a:ext cx="5213685" cy="13368"/>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14</xdr:col>
      <xdr:colOff>13368</xdr:colOff>
      <xdr:row>42</xdr:row>
      <xdr:rowOff>187158</xdr:rowOff>
    </xdr:from>
    <xdr:to>
      <xdr:col>54</xdr:col>
      <xdr:colOff>53474</xdr:colOff>
      <xdr:row>42</xdr:row>
      <xdr:rowOff>213894</xdr:rowOff>
    </xdr:to>
    <xdr:cxnSp macro="">
      <xdr:nvCxnSpPr>
        <xdr:cNvPr id="45" name="Straight Arrow Connector 44">
          <a:extLst>
            <a:ext uri="{FF2B5EF4-FFF2-40B4-BE49-F238E27FC236}">
              <a16:creationId xmlns:a16="http://schemas.microsoft.com/office/drawing/2014/main" id="{C9DEF432-7DA4-FE09-628A-6E1F4B2C3535}"/>
            </a:ext>
          </a:extLst>
        </xdr:cNvPr>
        <xdr:cNvCxnSpPr/>
      </xdr:nvCxnSpPr>
      <xdr:spPr>
        <a:xfrm flipH="1">
          <a:off x="9304421" y="17606211"/>
          <a:ext cx="8061158" cy="26736"/>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40105</xdr:colOff>
      <xdr:row>43</xdr:row>
      <xdr:rowOff>187158</xdr:rowOff>
    </xdr:from>
    <xdr:to>
      <xdr:col>54</xdr:col>
      <xdr:colOff>40106</xdr:colOff>
      <xdr:row>43</xdr:row>
      <xdr:rowOff>213895</xdr:rowOff>
    </xdr:to>
    <xdr:cxnSp macro="">
      <xdr:nvCxnSpPr>
        <xdr:cNvPr id="47" name="Straight Arrow Connector 46">
          <a:extLst>
            <a:ext uri="{FF2B5EF4-FFF2-40B4-BE49-F238E27FC236}">
              <a16:creationId xmlns:a16="http://schemas.microsoft.com/office/drawing/2014/main" id="{C5DB0D06-347A-85B0-7832-15A35EA084A5}"/>
            </a:ext>
          </a:extLst>
        </xdr:cNvPr>
        <xdr:cNvCxnSpPr/>
      </xdr:nvCxnSpPr>
      <xdr:spPr>
        <a:xfrm flipH="1" flipV="1">
          <a:off x="10734842" y="17993895"/>
          <a:ext cx="6617369" cy="26737"/>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28</xdr:col>
      <xdr:colOff>0</xdr:colOff>
      <xdr:row>44</xdr:row>
      <xdr:rowOff>200526</xdr:rowOff>
    </xdr:from>
    <xdr:to>
      <xdr:col>54</xdr:col>
      <xdr:colOff>53474</xdr:colOff>
      <xdr:row>44</xdr:row>
      <xdr:rowOff>213895</xdr:rowOff>
    </xdr:to>
    <xdr:cxnSp macro="">
      <xdr:nvCxnSpPr>
        <xdr:cNvPr id="49" name="Straight Arrow Connector 48">
          <a:extLst>
            <a:ext uri="{FF2B5EF4-FFF2-40B4-BE49-F238E27FC236}">
              <a16:creationId xmlns:a16="http://schemas.microsoft.com/office/drawing/2014/main" id="{0D218F9B-AD1B-7E8F-47CE-0AE5B06E0E26}"/>
            </a:ext>
          </a:extLst>
        </xdr:cNvPr>
        <xdr:cNvCxnSpPr/>
      </xdr:nvCxnSpPr>
      <xdr:spPr>
        <a:xfrm flipH="1" flipV="1">
          <a:off x="12098421" y="18394947"/>
          <a:ext cx="5267158" cy="13369"/>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35</xdr:col>
      <xdr:colOff>53474</xdr:colOff>
      <xdr:row>45</xdr:row>
      <xdr:rowOff>133684</xdr:rowOff>
    </xdr:from>
    <xdr:to>
      <xdr:col>54</xdr:col>
      <xdr:colOff>26737</xdr:colOff>
      <xdr:row>45</xdr:row>
      <xdr:rowOff>187158</xdr:rowOff>
    </xdr:to>
    <xdr:cxnSp macro="">
      <xdr:nvCxnSpPr>
        <xdr:cNvPr id="51" name="Straight Arrow Connector 50">
          <a:extLst>
            <a:ext uri="{FF2B5EF4-FFF2-40B4-BE49-F238E27FC236}">
              <a16:creationId xmlns:a16="http://schemas.microsoft.com/office/drawing/2014/main" id="{9CE47133-6915-1E64-AF2D-DBB26BD2C2F3}"/>
            </a:ext>
          </a:extLst>
        </xdr:cNvPr>
        <xdr:cNvCxnSpPr/>
      </xdr:nvCxnSpPr>
      <xdr:spPr>
        <a:xfrm flipH="1">
          <a:off x="13555579" y="18715789"/>
          <a:ext cx="3783263" cy="53474"/>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35</xdr:col>
      <xdr:colOff>26737</xdr:colOff>
      <xdr:row>27</xdr:row>
      <xdr:rowOff>173789</xdr:rowOff>
    </xdr:from>
    <xdr:to>
      <xdr:col>53</xdr:col>
      <xdr:colOff>187158</xdr:colOff>
      <xdr:row>27</xdr:row>
      <xdr:rowOff>173789</xdr:rowOff>
    </xdr:to>
    <xdr:cxnSp macro="">
      <xdr:nvCxnSpPr>
        <xdr:cNvPr id="53" name="Straight Arrow Connector 52">
          <a:extLst>
            <a:ext uri="{FF2B5EF4-FFF2-40B4-BE49-F238E27FC236}">
              <a16:creationId xmlns:a16="http://schemas.microsoft.com/office/drawing/2014/main" id="{D4ECD47E-52BD-C613-B6E6-7E2FD153A1FB}"/>
            </a:ext>
          </a:extLst>
        </xdr:cNvPr>
        <xdr:cNvCxnSpPr/>
      </xdr:nvCxnSpPr>
      <xdr:spPr>
        <a:xfrm>
          <a:off x="13528842" y="10614526"/>
          <a:ext cx="3769895"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23</xdr:col>
      <xdr:colOff>0</xdr:colOff>
      <xdr:row>30</xdr:row>
      <xdr:rowOff>178594</xdr:rowOff>
    </xdr:from>
    <xdr:to>
      <xdr:col>55</xdr:col>
      <xdr:colOff>35719</xdr:colOff>
      <xdr:row>30</xdr:row>
      <xdr:rowOff>190500</xdr:rowOff>
    </xdr:to>
    <xdr:cxnSp macro="">
      <xdr:nvCxnSpPr>
        <xdr:cNvPr id="55" name="Straight Arrow Connector 54">
          <a:extLst>
            <a:ext uri="{FF2B5EF4-FFF2-40B4-BE49-F238E27FC236}">
              <a16:creationId xmlns:a16="http://schemas.microsoft.com/office/drawing/2014/main" id="{99CB67B5-F785-58EF-EFB4-96BDF4331AE1}"/>
            </a:ext>
          </a:extLst>
        </xdr:cNvPr>
        <xdr:cNvCxnSpPr/>
      </xdr:nvCxnSpPr>
      <xdr:spPr>
        <a:xfrm flipV="1">
          <a:off x="11108531" y="11989594"/>
          <a:ext cx="6512719" cy="11906"/>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0</xdr:colOff>
      <xdr:row>31</xdr:row>
      <xdr:rowOff>166688</xdr:rowOff>
    </xdr:from>
    <xdr:to>
      <xdr:col>55</xdr:col>
      <xdr:colOff>71438</xdr:colOff>
      <xdr:row>31</xdr:row>
      <xdr:rowOff>190500</xdr:rowOff>
    </xdr:to>
    <xdr:cxnSp macro="">
      <xdr:nvCxnSpPr>
        <xdr:cNvPr id="57" name="Straight Arrow Connector 56">
          <a:extLst>
            <a:ext uri="{FF2B5EF4-FFF2-40B4-BE49-F238E27FC236}">
              <a16:creationId xmlns:a16="http://schemas.microsoft.com/office/drawing/2014/main" id="{4E9FB5C6-633C-269E-8C7D-9BCDA7EE81BA}"/>
            </a:ext>
          </a:extLst>
        </xdr:cNvPr>
        <xdr:cNvCxnSpPr/>
      </xdr:nvCxnSpPr>
      <xdr:spPr>
        <a:xfrm>
          <a:off x="11715750" y="12358688"/>
          <a:ext cx="5941219" cy="23812"/>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55</xdr:col>
      <xdr:colOff>35719</xdr:colOff>
      <xdr:row>8</xdr:row>
      <xdr:rowOff>119063</xdr:rowOff>
    </xdr:from>
    <xdr:to>
      <xdr:col>55</xdr:col>
      <xdr:colOff>166688</xdr:colOff>
      <xdr:row>49</xdr:row>
      <xdr:rowOff>35719</xdr:rowOff>
    </xdr:to>
    <xdr:cxnSp macro="">
      <xdr:nvCxnSpPr>
        <xdr:cNvPr id="59" name="Straight Connector 58">
          <a:extLst>
            <a:ext uri="{FF2B5EF4-FFF2-40B4-BE49-F238E27FC236}">
              <a16:creationId xmlns:a16="http://schemas.microsoft.com/office/drawing/2014/main" id="{8A6EE451-6EB1-FC19-31F8-5FD6D4F14C98}"/>
            </a:ext>
          </a:extLst>
        </xdr:cNvPr>
        <xdr:cNvCxnSpPr/>
      </xdr:nvCxnSpPr>
      <xdr:spPr>
        <a:xfrm>
          <a:off x="17621250" y="2786063"/>
          <a:ext cx="130969" cy="18585656"/>
        </a:xfrm>
        <a:prstGeom prst="line">
          <a:avLst/>
        </a:prstGeom>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37</xdr:col>
      <xdr:colOff>47625</xdr:colOff>
      <xdr:row>46</xdr:row>
      <xdr:rowOff>142875</xdr:rowOff>
    </xdr:from>
    <xdr:to>
      <xdr:col>55</xdr:col>
      <xdr:colOff>166688</xdr:colOff>
      <xdr:row>46</xdr:row>
      <xdr:rowOff>190500</xdr:rowOff>
    </xdr:to>
    <xdr:cxnSp macro="">
      <xdr:nvCxnSpPr>
        <xdr:cNvPr id="61" name="Straight Arrow Connector 60">
          <a:extLst>
            <a:ext uri="{FF2B5EF4-FFF2-40B4-BE49-F238E27FC236}">
              <a16:creationId xmlns:a16="http://schemas.microsoft.com/office/drawing/2014/main" id="{E52717A6-1A42-C09C-5689-D23E820F505C}"/>
            </a:ext>
          </a:extLst>
        </xdr:cNvPr>
        <xdr:cNvCxnSpPr/>
      </xdr:nvCxnSpPr>
      <xdr:spPr>
        <a:xfrm flipH="1">
          <a:off x="13989844" y="18811875"/>
          <a:ext cx="3762375" cy="47625"/>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29</xdr:col>
      <xdr:colOff>35719</xdr:colOff>
      <xdr:row>32</xdr:row>
      <xdr:rowOff>178594</xdr:rowOff>
    </xdr:from>
    <xdr:to>
      <xdr:col>55</xdr:col>
      <xdr:colOff>99391</xdr:colOff>
      <xdr:row>32</xdr:row>
      <xdr:rowOff>187739</xdr:rowOff>
    </xdr:to>
    <xdr:cxnSp macro="">
      <xdr:nvCxnSpPr>
        <xdr:cNvPr id="63" name="Straight Arrow Connector 62">
          <a:extLst>
            <a:ext uri="{FF2B5EF4-FFF2-40B4-BE49-F238E27FC236}">
              <a16:creationId xmlns:a16="http://schemas.microsoft.com/office/drawing/2014/main" id="{78174292-8F76-69C0-9512-8A71DE4238E7}"/>
            </a:ext>
          </a:extLst>
        </xdr:cNvPr>
        <xdr:cNvCxnSpPr/>
      </xdr:nvCxnSpPr>
      <xdr:spPr>
        <a:xfrm>
          <a:off x="12420980" y="11995116"/>
          <a:ext cx="5375585" cy="9145"/>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60</xdr:col>
      <xdr:colOff>40640</xdr:colOff>
      <xdr:row>4</xdr:row>
      <xdr:rowOff>132080</xdr:rowOff>
    </xdr:from>
    <xdr:to>
      <xdr:col>65</xdr:col>
      <xdr:colOff>568960</xdr:colOff>
      <xdr:row>4</xdr:row>
      <xdr:rowOff>142240</xdr:rowOff>
    </xdr:to>
    <xdr:cxnSp macro="">
      <xdr:nvCxnSpPr>
        <xdr:cNvPr id="65" name="Straight Arrow Connector 64">
          <a:extLst>
            <a:ext uri="{FF2B5EF4-FFF2-40B4-BE49-F238E27FC236}">
              <a16:creationId xmlns:a16="http://schemas.microsoft.com/office/drawing/2014/main" id="{20FF010E-895A-9DBB-8B21-2E6355BCCC02}"/>
            </a:ext>
          </a:extLst>
        </xdr:cNvPr>
        <xdr:cNvCxnSpPr/>
      </xdr:nvCxnSpPr>
      <xdr:spPr>
        <a:xfrm>
          <a:off x="18638203" y="2418080"/>
          <a:ext cx="1540351" cy="101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71120</xdr:colOff>
      <xdr:row>9</xdr:row>
      <xdr:rowOff>223520</xdr:rowOff>
    </xdr:from>
    <xdr:to>
      <xdr:col>65</xdr:col>
      <xdr:colOff>579120</xdr:colOff>
      <xdr:row>9</xdr:row>
      <xdr:rowOff>243840</xdr:rowOff>
    </xdr:to>
    <xdr:cxnSp macro="">
      <xdr:nvCxnSpPr>
        <xdr:cNvPr id="67" name="Straight Arrow Connector 66">
          <a:extLst>
            <a:ext uri="{FF2B5EF4-FFF2-40B4-BE49-F238E27FC236}">
              <a16:creationId xmlns:a16="http://schemas.microsoft.com/office/drawing/2014/main" id="{5085D3DB-1B4C-A65C-B53E-1E66EE76126C}"/>
            </a:ext>
          </a:extLst>
        </xdr:cNvPr>
        <xdr:cNvCxnSpPr/>
      </xdr:nvCxnSpPr>
      <xdr:spPr>
        <a:xfrm flipH="1" flipV="1">
          <a:off x="18714720" y="3302000"/>
          <a:ext cx="1524000" cy="203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114145</xdr:colOff>
      <xdr:row>8</xdr:row>
      <xdr:rowOff>59129</xdr:rowOff>
    </xdr:from>
    <xdr:to>
      <xdr:col>58</xdr:col>
      <xdr:colOff>87409</xdr:colOff>
      <xdr:row>48</xdr:row>
      <xdr:rowOff>293077</xdr:rowOff>
    </xdr:to>
    <xdr:cxnSp macro="">
      <xdr:nvCxnSpPr>
        <xdr:cNvPr id="69" name="Straight Connector 68">
          <a:extLst>
            <a:ext uri="{FF2B5EF4-FFF2-40B4-BE49-F238E27FC236}">
              <a16:creationId xmlns:a16="http://schemas.microsoft.com/office/drawing/2014/main" id="{C1B2753D-F896-754C-9D79-E46042755836}"/>
            </a:ext>
          </a:extLst>
        </xdr:cNvPr>
        <xdr:cNvCxnSpPr/>
      </xdr:nvCxnSpPr>
      <xdr:spPr>
        <a:xfrm>
          <a:off x="18245837" y="2735898"/>
          <a:ext cx="178418" cy="15854948"/>
        </a:xfrm>
        <a:prstGeom prst="line">
          <a:avLst/>
        </a:prstGeom>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25</xdr:col>
      <xdr:colOff>48381</xdr:colOff>
      <xdr:row>18</xdr:row>
      <xdr:rowOff>205619</xdr:rowOff>
    </xdr:from>
    <xdr:to>
      <xdr:col>50</xdr:col>
      <xdr:colOff>120952</xdr:colOff>
      <xdr:row>18</xdr:row>
      <xdr:rowOff>229810</xdr:rowOff>
    </xdr:to>
    <xdr:cxnSp macro="">
      <xdr:nvCxnSpPr>
        <xdr:cNvPr id="2" name="Straight Arrow Connector 1">
          <a:extLst>
            <a:ext uri="{FF2B5EF4-FFF2-40B4-BE49-F238E27FC236}">
              <a16:creationId xmlns:a16="http://schemas.microsoft.com/office/drawing/2014/main" id="{0173B7AD-6938-427F-9D3A-82850AD59110}"/>
            </a:ext>
          </a:extLst>
        </xdr:cNvPr>
        <xdr:cNvCxnSpPr/>
      </xdr:nvCxnSpPr>
      <xdr:spPr>
        <a:xfrm flipV="1">
          <a:off x="11623524" y="6386286"/>
          <a:ext cx="5213047" cy="24191"/>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56</xdr:col>
      <xdr:colOff>76612</xdr:colOff>
      <xdr:row>8</xdr:row>
      <xdr:rowOff>108490</xdr:rowOff>
    </xdr:from>
    <xdr:to>
      <xdr:col>57</xdr:col>
      <xdr:colOff>49876</xdr:colOff>
      <xdr:row>48</xdr:row>
      <xdr:rowOff>342438</xdr:rowOff>
    </xdr:to>
    <xdr:cxnSp macro="">
      <xdr:nvCxnSpPr>
        <xdr:cNvPr id="11" name="Straight Connector 10">
          <a:extLst>
            <a:ext uri="{FF2B5EF4-FFF2-40B4-BE49-F238E27FC236}">
              <a16:creationId xmlns:a16="http://schemas.microsoft.com/office/drawing/2014/main" id="{7310CF98-78AF-4A03-911C-2236B7401E5C}"/>
            </a:ext>
          </a:extLst>
        </xdr:cNvPr>
        <xdr:cNvCxnSpPr/>
      </xdr:nvCxnSpPr>
      <xdr:spPr>
        <a:xfrm>
          <a:off x="18003150" y="2785259"/>
          <a:ext cx="178418" cy="15854948"/>
        </a:xfrm>
        <a:prstGeom prst="line">
          <a:avLst/>
        </a:prstGeom>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38</xdr:col>
      <xdr:colOff>198783</xdr:colOff>
      <xdr:row>48</xdr:row>
      <xdr:rowOff>195385</xdr:rowOff>
    </xdr:from>
    <xdr:to>
      <xdr:col>57</xdr:col>
      <xdr:colOff>78154</xdr:colOff>
      <xdr:row>48</xdr:row>
      <xdr:rowOff>198782</xdr:rowOff>
    </xdr:to>
    <xdr:cxnSp macro="">
      <xdr:nvCxnSpPr>
        <xdr:cNvPr id="13" name="Straight Arrow Connector 12">
          <a:extLst>
            <a:ext uri="{FF2B5EF4-FFF2-40B4-BE49-F238E27FC236}">
              <a16:creationId xmlns:a16="http://schemas.microsoft.com/office/drawing/2014/main" id="{8815163E-038C-4F23-9756-AB01C34AEE6A}"/>
            </a:ext>
          </a:extLst>
        </xdr:cNvPr>
        <xdr:cNvCxnSpPr/>
      </xdr:nvCxnSpPr>
      <xdr:spPr>
        <a:xfrm flipH="1">
          <a:off x="14422783" y="18107907"/>
          <a:ext cx="3761154" cy="3397"/>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29</xdr:col>
      <xdr:colOff>68384</xdr:colOff>
      <xdr:row>32</xdr:row>
      <xdr:rowOff>312616</xdr:rowOff>
    </xdr:from>
    <xdr:to>
      <xdr:col>56</xdr:col>
      <xdr:colOff>185616</xdr:colOff>
      <xdr:row>32</xdr:row>
      <xdr:rowOff>322385</xdr:rowOff>
    </xdr:to>
    <xdr:cxnSp macro="">
      <xdr:nvCxnSpPr>
        <xdr:cNvPr id="42" name="Straight Arrow Connector 41">
          <a:extLst>
            <a:ext uri="{FF2B5EF4-FFF2-40B4-BE49-F238E27FC236}">
              <a16:creationId xmlns:a16="http://schemas.microsoft.com/office/drawing/2014/main" id="{701756E1-B583-4315-BD15-C0E641D5D829}"/>
            </a:ext>
          </a:extLst>
        </xdr:cNvPr>
        <xdr:cNvCxnSpPr/>
      </xdr:nvCxnSpPr>
      <xdr:spPr>
        <a:xfrm flipV="1">
          <a:off x="12455769" y="12133385"/>
          <a:ext cx="5656385" cy="9769"/>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32</xdr:col>
      <xdr:colOff>196273</xdr:colOff>
      <xdr:row>39</xdr:row>
      <xdr:rowOff>207819</xdr:rowOff>
    </xdr:from>
    <xdr:to>
      <xdr:col>52</xdr:col>
      <xdr:colOff>34636</xdr:colOff>
      <xdr:row>39</xdr:row>
      <xdr:rowOff>221187</xdr:rowOff>
    </xdr:to>
    <xdr:cxnSp macro="">
      <xdr:nvCxnSpPr>
        <xdr:cNvPr id="48" name="Straight Arrow Connector 47">
          <a:extLst>
            <a:ext uri="{FF2B5EF4-FFF2-40B4-BE49-F238E27FC236}">
              <a16:creationId xmlns:a16="http://schemas.microsoft.com/office/drawing/2014/main" id="{48617250-6CF2-491E-94D4-F35C5C700D5B}"/>
            </a:ext>
          </a:extLst>
        </xdr:cNvPr>
        <xdr:cNvCxnSpPr/>
      </xdr:nvCxnSpPr>
      <xdr:spPr>
        <a:xfrm flipV="1">
          <a:off x="13288818" y="14697364"/>
          <a:ext cx="3994727" cy="13368"/>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39</xdr:col>
      <xdr:colOff>11545</xdr:colOff>
      <xdr:row>48</xdr:row>
      <xdr:rowOff>57727</xdr:rowOff>
    </xdr:from>
    <xdr:to>
      <xdr:col>52</xdr:col>
      <xdr:colOff>34636</xdr:colOff>
      <xdr:row>48</xdr:row>
      <xdr:rowOff>80819</xdr:rowOff>
    </xdr:to>
    <xdr:cxnSp macro="">
      <xdr:nvCxnSpPr>
        <xdr:cNvPr id="52" name="Straight Arrow Connector 51">
          <a:extLst>
            <a:ext uri="{FF2B5EF4-FFF2-40B4-BE49-F238E27FC236}">
              <a16:creationId xmlns:a16="http://schemas.microsoft.com/office/drawing/2014/main" id="{69B4F396-9726-4EA4-B163-94864E35FB8E}"/>
            </a:ext>
          </a:extLst>
        </xdr:cNvPr>
        <xdr:cNvCxnSpPr/>
      </xdr:nvCxnSpPr>
      <xdr:spPr>
        <a:xfrm flipH="1" flipV="1">
          <a:off x="14558818" y="17976272"/>
          <a:ext cx="2724727" cy="23092"/>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39</xdr:col>
      <xdr:colOff>54081</xdr:colOff>
      <xdr:row>11</xdr:row>
      <xdr:rowOff>303828</xdr:rowOff>
    </xdr:from>
    <xdr:to>
      <xdr:col>57</xdr:col>
      <xdr:colOff>57727</xdr:colOff>
      <xdr:row>11</xdr:row>
      <xdr:rowOff>346364</xdr:rowOff>
    </xdr:to>
    <xdr:cxnSp macro="">
      <xdr:nvCxnSpPr>
        <xdr:cNvPr id="58" name="Straight Arrow Connector 57">
          <a:extLst>
            <a:ext uri="{FF2B5EF4-FFF2-40B4-BE49-F238E27FC236}">
              <a16:creationId xmlns:a16="http://schemas.microsoft.com/office/drawing/2014/main" id="{11832962-2439-4130-A2A7-7B66650D5444}"/>
            </a:ext>
          </a:extLst>
        </xdr:cNvPr>
        <xdr:cNvCxnSpPr/>
      </xdr:nvCxnSpPr>
      <xdr:spPr>
        <a:xfrm>
          <a:off x="14601354" y="4125373"/>
          <a:ext cx="3744373" cy="42536"/>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44</xdr:col>
      <xdr:colOff>11545</xdr:colOff>
      <xdr:row>12</xdr:row>
      <xdr:rowOff>184727</xdr:rowOff>
    </xdr:from>
    <xdr:to>
      <xdr:col>57</xdr:col>
      <xdr:colOff>69273</xdr:colOff>
      <xdr:row>12</xdr:row>
      <xdr:rowOff>196273</xdr:rowOff>
    </xdr:to>
    <xdr:cxnSp macro="">
      <xdr:nvCxnSpPr>
        <xdr:cNvPr id="64" name="Straight Arrow Connector 63">
          <a:extLst>
            <a:ext uri="{FF2B5EF4-FFF2-40B4-BE49-F238E27FC236}">
              <a16:creationId xmlns:a16="http://schemas.microsoft.com/office/drawing/2014/main" id="{11771EF5-A1BB-478C-895D-1C4B47CF9CBB}"/>
            </a:ext>
          </a:extLst>
        </xdr:cNvPr>
        <xdr:cNvCxnSpPr/>
      </xdr:nvCxnSpPr>
      <xdr:spPr>
        <a:xfrm flipH="1" flipV="1">
          <a:off x="15597909" y="4387272"/>
          <a:ext cx="2759364" cy="11546"/>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O50"/>
  <sheetViews>
    <sheetView showGridLines="0" tabSelected="1" showRuler="0" topLeftCell="A2" zoomScale="80" zoomScaleNormal="96" zoomScalePageLayoutView="70" workbookViewId="0">
      <selection activeCell="Q2" sqref="Q2:Z2"/>
    </sheetView>
  </sheetViews>
  <sheetFormatPr defaultColWidth="8.69921875" defaultRowHeight="30" customHeight="1" x14ac:dyDescent="0.25"/>
  <cols>
    <col min="1" max="1" width="2.69921875" style="12" customWidth="1"/>
    <col min="2" max="2" width="50.296875" bestFit="1" customWidth="1"/>
    <col min="3" max="3" width="18.3984375" bestFit="1"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7" ht="90" customHeight="1" x14ac:dyDescent="1.45">
      <c r="A1" s="13"/>
      <c r="B1" s="80" t="s">
        <v>22</v>
      </c>
      <c r="C1" s="15"/>
      <c r="D1" s="16"/>
      <c r="E1" s="17"/>
      <c r="F1" s="18"/>
      <c r="H1" s="1"/>
      <c r="I1" s="101" t="s">
        <v>19</v>
      </c>
      <c r="J1" s="102"/>
      <c r="K1" s="102"/>
      <c r="L1" s="102"/>
      <c r="M1" s="102"/>
      <c r="N1" s="102"/>
      <c r="O1" s="102"/>
      <c r="P1" s="21"/>
      <c r="Q1" s="100">
        <f ca="1">TODAY()</f>
        <v>46087</v>
      </c>
      <c r="R1" s="99"/>
      <c r="S1" s="99"/>
      <c r="T1" s="99"/>
      <c r="U1" s="99"/>
      <c r="V1" s="99"/>
      <c r="W1" s="99"/>
      <c r="X1" s="99"/>
      <c r="Y1" s="99"/>
      <c r="Z1" s="99"/>
    </row>
    <row r="2" spans="1:67" ht="30" customHeight="1" x14ac:dyDescent="0.6">
      <c r="B2" s="78" t="s">
        <v>37</v>
      </c>
      <c r="C2" s="79"/>
      <c r="D2" s="19"/>
      <c r="E2" s="20"/>
      <c r="F2" s="19"/>
      <c r="I2" s="101" t="s">
        <v>20</v>
      </c>
      <c r="J2" s="102"/>
      <c r="K2" s="102"/>
      <c r="L2" s="102"/>
      <c r="M2" s="102"/>
      <c r="N2" s="102"/>
      <c r="O2" s="102"/>
      <c r="P2" s="21"/>
      <c r="Q2" s="98">
        <v>1</v>
      </c>
      <c r="R2" s="99"/>
      <c r="S2" s="99"/>
      <c r="T2" s="99"/>
      <c r="U2" s="99"/>
      <c r="V2" s="99"/>
      <c r="W2" s="99"/>
      <c r="X2" s="99"/>
      <c r="Y2" s="99"/>
      <c r="Z2" s="99"/>
    </row>
    <row r="3" spans="1:67" s="23" customFormat="1" ht="30" customHeight="1" x14ac:dyDescent="0.25">
      <c r="A3" s="12"/>
      <c r="B3" s="22"/>
      <c r="D3" s="24"/>
      <c r="E3" s="25"/>
    </row>
    <row r="4" spans="1:67" s="23" customFormat="1" ht="30" customHeight="1" x14ac:dyDescent="0.25">
      <c r="A4" s="13"/>
      <c r="B4" s="90" t="s">
        <v>4</v>
      </c>
      <c r="C4" s="92" t="s">
        <v>21</v>
      </c>
      <c r="D4" s="88" t="s">
        <v>0</v>
      </c>
      <c r="E4" s="88" t="s">
        <v>2</v>
      </c>
      <c r="F4" s="88" t="s">
        <v>3</v>
      </c>
      <c r="I4" s="96">
        <f ca="1">I5</f>
        <v>46083</v>
      </c>
      <c r="J4" s="96"/>
      <c r="K4" s="96"/>
      <c r="L4" s="96"/>
      <c r="M4" s="96"/>
      <c r="N4" s="96"/>
      <c r="O4" s="97"/>
      <c r="P4" s="95">
        <f ca="1">P5</f>
        <v>46090</v>
      </c>
      <c r="Q4" s="96"/>
      <c r="R4" s="96"/>
      <c r="S4" s="96"/>
      <c r="T4" s="96"/>
      <c r="U4" s="96"/>
      <c r="V4" s="97"/>
      <c r="W4" s="95">
        <f ca="1">W5</f>
        <v>46097</v>
      </c>
      <c r="X4" s="96"/>
      <c r="Y4" s="96"/>
      <c r="Z4" s="96"/>
      <c r="AA4" s="96"/>
      <c r="AB4" s="96"/>
      <c r="AC4" s="97"/>
      <c r="AD4" s="95">
        <f ca="1">AD5</f>
        <v>46104</v>
      </c>
      <c r="AE4" s="96"/>
      <c r="AF4" s="96"/>
      <c r="AG4" s="96"/>
      <c r="AH4" s="96"/>
      <c r="AI4" s="96"/>
      <c r="AJ4" s="97"/>
      <c r="AK4" s="95">
        <f ca="1">AK5</f>
        <v>46111</v>
      </c>
      <c r="AL4" s="96"/>
      <c r="AM4" s="96"/>
      <c r="AN4" s="96"/>
      <c r="AO4" s="96"/>
      <c r="AP4" s="96"/>
      <c r="AQ4" s="97"/>
      <c r="AR4" s="95">
        <f ca="1">AR5</f>
        <v>46118</v>
      </c>
      <c r="AS4" s="96"/>
      <c r="AT4" s="96"/>
      <c r="AU4" s="96"/>
      <c r="AV4" s="96"/>
      <c r="AW4" s="96"/>
      <c r="AX4" s="97"/>
    </row>
    <row r="5" spans="1:67" s="23" customFormat="1" ht="15" customHeight="1" x14ac:dyDescent="0.25">
      <c r="A5" s="94"/>
      <c r="B5" s="91"/>
      <c r="C5" s="89"/>
      <c r="D5" s="89"/>
      <c r="E5" s="89"/>
      <c r="F5" s="89"/>
      <c r="I5" s="26">
        <f ca="1">Project_Start-WEEKDAY(Project_Start,1)+2+7*(Display_Week-1)</f>
        <v>46083</v>
      </c>
      <c r="J5" s="26">
        <f ca="1">I5+1</f>
        <v>46084</v>
      </c>
      <c r="K5" s="26">
        <f t="shared" ref="K5:AX5" ca="1" si="0">J5+1</f>
        <v>46085</v>
      </c>
      <c r="L5" s="26">
        <f t="shared" ca="1" si="0"/>
        <v>46086</v>
      </c>
      <c r="M5" s="26">
        <f t="shared" ca="1" si="0"/>
        <v>46087</v>
      </c>
      <c r="N5" s="26">
        <f t="shared" ca="1" si="0"/>
        <v>46088</v>
      </c>
      <c r="O5" s="27">
        <f t="shared" ca="1" si="0"/>
        <v>46089</v>
      </c>
      <c r="P5" s="28">
        <f ca="1">O5+1</f>
        <v>46090</v>
      </c>
      <c r="Q5" s="26">
        <f ca="1">P5+1</f>
        <v>46091</v>
      </c>
      <c r="R5" s="26">
        <f t="shared" ca="1" si="0"/>
        <v>46092</v>
      </c>
      <c r="S5" s="26">
        <f t="shared" ca="1" si="0"/>
        <v>46093</v>
      </c>
      <c r="T5" s="26">
        <f t="shared" ca="1" si="0"/>
        <v>46094</v>
      </c>
      <c r="U5" s="26">
        <f t="shared" ca="1" si="0"/>
        <v>46095</v>
      </c>
      <c r="V5" s="27">
        <f t="shared" ca="1" si="0"/>
        <v>46096</v>
      </c>
      <c r="W5" s="28">
        <f ca="1">V5+1</f>
        <v>46097</v>
      </c>
      <c r="X5" s="26">
        <f ca="1">W5+1</f>
        <v>46098</v>
      </c>
      <c r="Y5" s="26">
        <f t="shared" ca="1" si="0"/>
        <v>46099</v>
      </c>
      <c r="Z5" s="26">
        <f t="shared" ca="1" si="0"/>
        <v>46100</v>
      </c>
      <c r="AA5" s="26">
        <f t="shared" ca="1" si="0"/>
        <v>46101</v>
      </c>
      <c r="AB5" s="26">
        <f t="shared" ca="1" si="0"/>
        <v>46102</v>
      </c>
      <c r="AC5" s="27">
        <f t="shared" ca="1" si="0"/>
        <v>46103</v>
      </c>
      <c r="AD5" s="28">
        <f ca="1">AC5+1</f>
        <v>46104</v>
      </c>
      <c r="AE5" s="26">
        <f ca="1">AD5+1</f>
        <v>46105</v>
      </c>
      <c r="AF5" s="26">
        <f t="shared" ca="1" si="0"/>
        <v>46106</v>
      </c>
      <c r="AG5" s="26">
        <f t="shared" ca="1" si="0"/>
        <v>46107</v>
      </c>
      <c r="AH5" s="26">
        <f t="shared" ca="1" si="0"/>
        <v>46108</v>
      </c>
      <c r="AI5" s="26">
        <f t="shared" ca="1" si="0"/>
        <v>46109</v>
      </c>
      <c r="AJ5" s="27">
        <f t="shared" ca="1" si="0"/>
        <v>46110</v>
      </c>
      <c r="AK5" s="28">
        <f ca="1">AJ5+1</f>
        <v>46111</v>
      </c>
      <c r="AL5" s="26">
        <f ca="1">AK5+1</f>
        <v>46112</v>
      </c>
      <c r="AM5" s="26">
        <f t="shared" ca="1" si="0"/>
        <v>46113</v>
      </c>
      <c r="AN5" s="26">
        <f t="shared" ca="1" si="0"/>
        <v>46114</v>
      </c>
      <c r="AO5" s="26">
        <f t="shared" ca="1" si="0"/>
        <v>46115</v>
      </c>
      <c r="AP5" s="26">
        <f t="shared" ca="1" si="0"/>
        <v>46116</v>
      </c>
      <c r="AQ5" s="27">
        <f t="shared" ca="1" si="0"/>
        <v>46117</v>
      </c>
      <c r="AR5" s="28">
        <f ca="1">AQ5+1</f>
        <v>46118</v>
      </c>
      <c r="AS5" s="26">
        <f ca="1">AR5+1</f>
        <v>46119</v>
      </c>
      <c r="AT5" s="26">
        <f t="shared" ca="1" si="0"/>
        <v>46120</v>
      </c>
      <c r="AU5" s="26">
        <f t="shared" ca="1" si="0"/>
        <v>46121</v>
      </c>
      <c r="AV5" s="26">
        <f t="shared" ca="1" si="0"/>
        <v>46122</v>
      </c>
      <c r="AW5" s="26">
        <f t="shared" ca="1" si="0"/>
        <v>46123</v>
      </c>
      <c r="AX5" s="27">
        <f t="shared" ca="1" si="0"/>
        <v>46124</v>
      </c>
      <c r="BO5" s="23" t="s">
        <v>59</v>
      </c>
    </row>
    <row r="6" spans="1:67" s="23" customFormat="1" ht="15" customHeight="1" x14ac:dyDescent="0.25">
      <c r="A6" s="94"/>
      <c r="B6" s="31"/>
      <c r="C6" s="32"/>
      <c r="D6" s="31"/>
      <c r="E6" s="31"/>
      <c r="F6" s="31"/>
      <c r="I6" s="29" t="str">
        <f t="shared" ref="I6:AN6" ca="1" si="1">LEFT(TEXT(I5,"ddd"),1)</f>
        <v>M</v>
      </c>
      <c r="J6" s="30" t="str">
        <f t="shared" ca="1" si="1"/>
        <v>T</v>
      </c>
      <c r="K6" s="30" t="str">
        <f t="shared" ca="1" si="1"/>
        <v>W</v>
      </c>
      <c r="L6" s="30" t="str">
        <f t="shared" ca="1" si="1"/>
        <v>T</v>
      </c>
      <c r="M6" s="30" t="str">
        <f t="shared" ca="1" si="1"/>
        <v>F</v>
      </c>
      <c r="N6" s="30" t="str">
        <f t="shared" ca="1" si="1"/>
        <v>S</v>
      </c>
      <c r="O6" s="30" t="str">
        <f t="shared" ca="1" si="1"/>
        <v>S</v>
      </c>
      <c r="P6" s="30" t="str">
        <f t="shared" ca="1" si="1"/>
        <v>M</v>
      </c>
      <c r="Q6" s="30" t="str">
        <f t="shared" ca="1" si="1"/>
        <v>T</v>
      </c>
      <c r="R6" s="30" t="str">
        <f t="shared" ca="1" si="1"/>
        <v>W</v>
      </c>
      <c r="S6" s="30" t="str">
        <f t="shared" ca="1" si="1"/>
        <v>T</v>
      </c>
      <c r="T6" s="30" t="str">
        <f t="shared" ca="1" si="1"/>
        <v>F</v>
      </c>
      <c r="U6" s="30" t="str">
        <f t="shared" ca="1" si="1"/>
        <v>S</v>
      </c>
      <c r="V6" s="30" t="str">
        <f t="shared" ca="1" si="1"/>
        <v>S</v>
      </c>
      <c r="W6" s="30" t="str">
        <f t="shared" ca="1" si="1"/>
        <v>M</v>
      </c>
      <c r="X6" s="30" t="str">
        <f t="shared" ca="1" si="1"/>
        <v>T</v>
      </c>
      <c r="Y6" s="30" t="str">
        <f t="shared" ca="1" si="1"/>
        <v>W</v>
      </c>
      <c r="Z6" s="30" t="str">
        <f t="shared" ca="1" si="1"/>
        <v>T</v>
      </c>
      <c r="AA6" s="30" t="str">
        <f t="shared" ca="1" si="1"/>
        <v>F</v>
      </c>
      <c r="AB6" s="30" t="str">
        <f t="shared" ca="1" si="1"/>
        <v>S</v>
      </c>
      <c r="AC6" s="30" t="str">
        <f t="shared" ca="1" si="1"/>
        <v>S</v>
      </c>
      <c r="AD6" s="30" t="str">
        <f t="shared" ca="1" si="1"/>
        <v>M</v>
      </c>
      <c r="AE6" s="30" t="str">
        <f t="shared" ca="1" si="1"/>
        <v>T</v>
      </c>
      <c r="AF6" s="30" t="str">
        <f t="shared" ca="1" si="1"/>
        <v>W</v>
      </c>
      <c r="AG6" s="30" t="str">
        <f t="shared" ca="1" si="1"/>
        <v>T</v>
      </c>
      <c r="AH6" s="30" t="str">
        <f t="shared" ca="1" si="1"/>
        <v>F</v>
      </c>
      <c r="AI6" s="30" t="str">
        <f t="shared" ca="1" si="1"/>
        <v>S</v>
      </c>
      <c r="AJ6" s="30" t="str">
        <f t="shared" ca="1" si="1"/>
        <v>S</v>
      </c>
      <c r="AK6" s="30" t="str">
        <f t="shared" ca="1" si="1"/>
        <v>M</v>
      </c>
      <c r="AL6" s="30" t="str">
        <f t="shared" ca="1" si="1"/>
        <v>T</v>
      </c>
      <c r="AM6" s="30" t="str">
        <f t="shared" ca="1" si="1"/>
        <v>W</v>
      </c>
      <c r="AN6" s="30" t="str">
        <f t="shared" ca="1" si="1"/>
        <v>T</v>
      </c>
      <c r="AO6" s="30" t="str">
        <f t="shared" ref="AO6:AX6" ca="1" si="2">LEFT(TEXT(AO5,"ddd"),1)</f>
        <v>F</v>
      </c>
      <c r="AP6" s="30" t="str">
        <f t="shared" ca="1" si="2"/>
        <v>S</v>
      </c>
      <c r="AQ6" s="30" t="str">
        <f t="shared" ca="1" si="2"/>
        <v>S</v>
      </c>
      <c r="AR6" s="30" t="str">
        <f t="shared" ca="1" si="2"/>
        <v>M</v>
      </c>
      <c r="AS6" s="30" t="str">
        <f t="shared" ca="1" si="2"/>
        <v>T</v>
      </c>
      <c r="AT6" s="30" t="str">
        <f t="shared" ca="1" si="2"/>
        <v>W</v>
      </c>
      <c r="AU6" s="30" t="str">
        <f t="shared" ca="1" si="2"/>
        <v>T</v>
      </c>
      <c r="AV6" s="30" t="str">
        <f t="shared" ca="1" si="2"/>
        <v>F</v>
      </c>
      <c r="AW6" s="30" t="str">
        <f t="shared" ca="1" si="2"/>
        <v>S</v>
      </c>
      <c r="AX6" s="30" t="str">
        <f t="shared" ca="1" si="2"/>
        <v>S</v>
      </c>
    </row>
    <row r="7" spans="1:67" s="23" customFormat="1" ht="30" hidden="1" customHeight="1" thickBot="1" x14ac:dyDescent="0.3">
      <c r="A7" s="12" t="s">
        <v>18</v>
      </c>
      <c r="B7" s="34" t="s">
        <v>23</v>
      </c>
      <c r="C7" s="35"/>
      <c r="D7" s="36"/>
      <c r="E7" s="37"/>
      <c r="F7" s="38"/>
      <c r="H7" s="23" t="str">
        <f>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row>
    <row r="8" spans="1:67" ht="30" customHeight="1" thickBot="1" x14ac:dyDescent="0.3">
      <c r="B8" s="93" t="s">
        <v>71</v>
      </c>
      <c r="C8" s="93"/>
      <c r="D8" s="93"/>
      <c r="E8" s="93"/>
      <c r="F8" s="93"/>
    </row>
    <row r="9" spans="1:67" s="39" customFormat="1" ht="30" customHeight="1" thickBot="1" x14ac:dyDescent="0.3">
      <c r="A9" s="13"/>
      <c r="B9" s="40" t="s">
        <v>47</v>
      </c>
      <c r="C9" s="41" t="s">
        <v>38</v>
      </c>
      <c r="D9" s="42"/>
      <c r="E9" s="43">
        <v>46108</v>
      </c>
      <c r="F9" s="43">
        <v>46108</v>
      </c>
      <c r="G9" s="14"/>
      <c r="H9" s="4">
        <f t="shared" ref="H9:H32" si="3">IF(OR(ISBLANK(task_start),ISBLANK(task_end)),"",task_end-task_start+1)</f>
        <v>1</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row>
    <row r="10" spans="1:67" s="39" customFormat="1" ht="30" customHeight="1" thickBot="1" x14ac:dyDescent="0.3">
      <c r="A10" s="13"/>
      <c r="B10" s="45" t="s">
        <v>24</v>
      </c>
      <c r="C10" s="46" t="s">
        <v>39</v>
      </c>
      <c r="D10" s="47"/>
      <c r="E10" s="43">
        <v>46109</v>
      </c>
      <c r="F10" s="43">
        <v>46109</v>
      </c>
      <c r="G10" s="14"/>
      <c r="H10" s="4">
        <f t="shared" si="3"/>
        <v>1</v>
      </c>
      <c r="I10" s="44"/>
      <c r="J10" s="44"/>
      <c r="K10" s="44"/>
      <c r="L10" s="44"/>
      <c r="M10" s="44"/>
      <c r="N10" s="44"/>
      <c r="O10" s="44"/>
      <c r="P10" s="44"/>
      <c r="Q10" s="44"/>
      <c r="R10" s="44"/>
      <c r="S10" s="44"/>
      <c r="T10" s="44"/>
      <c r="U10" s="49"/>
      <c r="V10" s="49"/>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BO10" s="39" t="s">
        <v>61</v>
      </c>
    </row>
    <row r="11" spans="1:67" s="39" customFormat="1" ht="30" customHeight="1" thickBot="1" x14ac:dyDescent="0.3">
      <c r="A11" s="13"/>
      <c r="B11" s="45" t="s">
        <v>48</v>
      </c>
      <c r="C11" s="46" t="s">
        <v>39</v>
      </c>
      <c r="D11" s="47"/>
      <c r="E11" s="43">
        <v>46110</v>
      </c>
      <c r="F11" s="43">
        <v>46110</v>
      </c>
      <c r="G11" s="14"/>
      <c r="H11" s="4">
        <f t="shared" si="3"/>
        <v>1</v>
      </c>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row>
    <row r="12" spans="1:67" s="39" customFormat="1" ht="30" customHeight="1" thickBot="1" x14ac:dyDescent="0.3">
      <c r="A12" s="12"/>
      <c r="B12" s="45" t="s">
        <v>68</v>
      </c>
      <c r="C12" s="46" t="s">
        <v>39</v>
      </c>
      <c r="D12" s="47"/>
      <c r="E12" s="43">
        <v>46105</v>
      </c>
      <c r="F12" s="43">
        <v>46106</v>
      </c>
      <c r="G12" s="14"/>
      <c r="H12" s="4">
        <f t="shared" si="3"/>
        <v>2</v>
      </c>
      <c r="I12" s="44"/>
      <c r="J12" s="44"/>
      <c r="K12" s="44"/>
      <c r="L12" s="44"/>
      <c r="M12" s="44"/>
      <c r="N12" s="44"/>
      <c r="O12" s="44"/>
      <c r="P12" s="44"/>
      <c r="Q12" s="44"/>
      <c r="R12" s="44"/>
      <c r="S12" s="44"/>
      <c r="T12" s="44"/>
      <c r="U12" s="44"/>
      <c r="V12" s="44"/>
      <c r="W12" s="44"/>
      <c r="X12" s="44"/>
      <c r="Y12" s="49"/>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BN12" s="39" t="s">
        <v>62</v>
      </c>
    </row>
    <row r="13" spans="1:67" s="39" customFormat="1" ht="30" customHeight="1" thickBot="1" x14ac:dyDescent="0.3">
      <c r="A13" s="12"/>
      <c r="B13" s="45" t="s">
        <v>49</v>
      </c>
      <c r="C13" s="46" t="s">
        <v>38</v>
      </c>
      <c r="D13" s="47"/>
      <c r="E13" s="43">
        <v>46111</v>
      </c>
      <c r="F13" s="43">
        <v>46111</v>
      </c>
      <c r="G13" s="14"/>
      <c r="H13" s="4">
        <f t="shared" si="3"/>
        <v>1</v>
      </c>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row>
    <row r="14" spans="1:67" s="39" customFormat="1" ht="30" customHeight="1" thickBot="1" x14ac:dyDescent="0.3">
      <c r="A14" s="12"/>
      <c r="B14" s="50" t="s">
        <v>25</v>
      </c>
      <c r="C14" s="51"/>
      <c r="D14" s="52"/>
      <c r="E14" s="53"/>
      <c r="F14" s="54"/>
      <c r="G14" s="14"/>
      <c r="H14" s="4" t="str">
        <f t="shared" si="3"/>
        <v/>
      </c>
    </row>
    <row r="15" spans="1:67" s="39" customFormat="1" ht="30" customHeight="1" thickBot="1" x14ac:dyDescent="0.3">
      <c r="A15" s="13"/>
      <c r="B15" s="55" t="s">
        <v>26</v>
      </c>
      <c r="C15" s="56" t="s">
        <v>39</v>
      </c>
      <c r="D15" s="57"/>
      <c r="E15" s="58">
        <v>46079</v>
      </c>
      <c r="F15" s="58">
        <v>46080</v>
      </c>
      <c r="G15" s="14"/>
      <c r="H15" s="4">
        <f t="shared" si="3"/>
        <v>2</v>
      </c>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row>
    <row r="16" spans="1:67" s="39" customFormat="1" ht="30" customHeight="1" thickBot="1" x14ac:dyDescent="0.3">
      <c r="A16" s="13"/>
      <c r="B16" s="55" t="s">
        <v>50</v>
      </c>
      <c r="C16" s="56" t="s">
        <v>38</v>
      </c>
      <c r="D16" s="57"/>
      <c r="E16" s="58">
        <v>46086</v>
      </c>
      <c r="F16" s="58">
        <v>46087</v>
      </c>
      <c r="G16" s="14"/>
      <c r="H16" s="4">
        <f t="shared" si="3"/>
        <v>2</v>
      </c>
      <c r="I16" s="44"/>
      <c r="J16" s="44"/>
      <c r="K16" s="44"/>
      <c r="L16" s="44"/>
      <c r="M16" s="44"/>
      <c r="N16" s="44"/>
      <c r="O16" s="44"/>
      <c r="P16" s="44"/>
      <c r="Q16" s="44"/>
      <c r="R16" s="44"/>
      <c r="S16" s="44"/>
      <c r="T16" s="44"/>
      <c r="U16" s="49"/>
      <c r="V16" s="49"/>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row>
    <row r="17" spans="1:50" s="39" customFormat="1" ht="30" customHeight="1" thickBot="1" x14ac:dyDescent="0.3">
      <c r="A17" s="13"/>
      <c r="B17" s="55" t="s">
        <v>58</v>
      </c>
      <c r="C17" s="56" t="s">
        <v>39</v>
      </c>
      <c r="D17" s="57"/>
      <c r="E17" s="58">
        <v>46087</v>
      </c>
      <c r="F17" s="58">
        <v>46088</v>
      </c>
      <c r="G17" s="14"/>
      <c r="H17" s="4"/>
      <c r="I17" s="44"/>
      <c r="J17" s="44"/>
      <c r="K17" s="44"/>
      <c r="L17" s="44"/>
      <c r="M17" s="44"/>
      <c r="N17" s="44"/>
      <c r="O17" s="44"/>
      <c r="P17" s="44"/>
      <c r="Q17" s="44"/>
      <c r="R17" s="44"/>
      <c r="S17" s="44"/>
      <c r="T17" s="44"/>
      <c r="U17" s="49"/>
      <c r="V17" s="49"/>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row>
    <row r="18" spans="1:50" s="39" customFormat="1" ht="30" customHeight="1" thickBot="1" x14ac:dyDescent="0.3">
      <c r="A18" s="12"/>
      <c r="B18" s="55" t="s">
        <v>60</v>
      </c>
      <c r="C18" s="56" t="s">
        <v>39</v>
      </c>
      <c r="D18" s="57"/>
      <c r="E18" s="58">
        <v>46088</v>
      </c>
      <c r="F18" s="58">
        <v>46090</v>
      </c>
      <c r="G18" s="14"/>
      <c r="H18" s="4">
        <f t="shared" si="3"/>
        <v>3</v>
      </c>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row>
    <row r="19" spans="1:50" s="39" customFormat="1" ht="30" customHeight="1" thickBot="1" x14ac:dyDescent="0.3">
      <c r="A19" s="12"/>
      <c r="B19" s="55" t="s">
        <v>52</v>
      </c>
      <c r="C19" s="56" t="s">
        <v>38</v>
      </c>
      <c r="D19" s="57"/>
      <c r="E19" s="58">
        <v>46090</v>
      </c>
      <c r="F19" s="58">
        <v>46092</v>
      </c>
      <c r="G19" s="14"/>
      <c r="H19" s="4">
        <f t="shared" si="3"/>
        <v>3</v>
      </c>
      <c r="I19" s="44"/>
      <c r="J19" s="44"/>
      <c r="K19" s="44"/>
      <c r="L19" s="44"/>
      <c r="M19" s="44"/>
      <c r="N19" s="44"/>
      <c r="O19" s="44"/>
      <c r="P19" s="44"/>
      <c r="Q19" s="44"/>
      <c r="R19" s="44"/>
      <c r="S19" s="44"/>
      <c r="T19" s="44"/>
      <c r="U19" s="44"/>
      <c r="V19" s="44"/>
      <c r="W19" s="44"/>
      <c r="X19" s="44"/>
      <c r="Y19" s="49"/>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row>
    <row r="20" spans="1:50" s="39" customFormat="1" ht="30" customHeight="1" thickBot="1" x14ac:dyDescent="0.3">
      <c r="A20" s="12"/>
      <c r="B20" s="59" t="s">
        <v>40</v>
      </c>
      <c r="C20" s="60"/>
      <c r="D20" s="61"/>
      <c r="E20" s="62"/>
      <c r="F20" s="63"/>
      <c r="G20" s="14"/>
      <c r="H20" s="4" t="str">
        <f t="shared" si="3"/>
        <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row>
    <row r="21" spans="1:50" s="39" customFormat="1" ht="30" customHeight="1" thickBot="1" x14ac:dyDescent="0.3">
      <c r="A21" s="12"/>
      <c r="B21" s="64" t="s">
        <v>41</v>
      </c>
      <c r="C21" s="65" t="s">
        <v>39</v>
      </c>
      <c r="D21" s="66"/>
      <c r="E21" s="67">
        <v>46079</v>
      </c>
      <c r="F21" s="67">
        <v>46080</v>
      </c>
      <c r="G21" s="14"/>
      <c r="H21" s="4">
        <f t="shared" si="3"/>
        <v>2</v>
      </c>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row>
    <row r="22" spans="1:50" s="39" customFormat="1" ht="30" customHeight="1" thickBot="1" x14ac:dyDescent="0.3">
      <c r="A22" s="12"/>
      <c r="B22" s="64" t="s">
        <v>51</v>
      </c>
      <c r="C22" s="65" t="s">
        <v>39</v>
      </c>
      <c r="D22" s="66"/>
      <c r="E22" s="67">
        <v>46105</v>
      </c>
      <c r="F22" s="67">
        <v>46105</v>
      </c>
      <c r="G22" s="14"/>
      <c r="H22" s="4">
        <f t="shared" si="3"/>
        <v>1</v>
      </c>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row>
    <row r="23" spans="1:50" s="39" customFormat="1" ht="30" customHeight="1" thickBot="1" x14ac:dyDescent="0.3">
      <c r="A23" s="12"/>
      <c r="B23" s="34" t="s">
        <v>70</v>
      </c>
      <c r="C23" s="35"/>
      <c r="D23" s="36"/>
      <c r="E23" s="37"/>
      <c r="F23" s="38"/>
      <c r="G23" s="14"/>
      <c r="H23" s="4" t="str">
        <f t="shared" si="3"/>
        <v/>
      </c>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row>
    <row r="24" spans="1:50" s="39" customFormat="1" ht="30" customHeight="1" thickBot="1" x14ac:dyDescent="0.3">
      <c r="A24" s="12"/>
      <c r="B24" s="40" t="s">
        <v>56</v>
      </c>
      <c r="C24" s="46" t="s">
        <v>39</v>
      </c>
      <c r="D24" s="42"/>
      <c r="E24" s="43">
        <v>46083</v>
      </c>
      <c r="F24" s="43">
        <v>46083</v>
      </c>
      <c r="G24" s="14"/>
      <c r="H24" s="4">
        <f t="shared" si="3"/>
        <v>1</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row>
    <row r="25" spans="1:50" s="39" customFormat="1" ht="30" customHeight="1" thickBot="1" x14ac:dyDescent="0.3">
      <c r="A25" s="12"/>
      <c r="B25" s="40" t="s">
        <v>45</v>
      </c>
      <c r="C25" s="46" t="s">
        <v>39</v>
      </c>
      <c r="D25" s="42"/>
      <c r="E25" s="43">
        <v>46080</v>
      </c>
      <c r="F25" s="43">
        <v>46081</v>
      </c>
      <c r="G25" s="14"/>
      <c r="H25" s="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row>
    <row r="26" spans="1:50" s="39" customFormat="1" ht="30" customHeight="1" thickBot="1" x14ac:dyDescent="0.3">
      <c r="A26" s="12"/>
      <c r="B26" s="40" t="s">
        <v>44</v>
      </c>
      <c r="C26" s="46" t="s">
        <v>39</v>
      </c>
      <c r="D26" s="47"/>
      <c r="E26" s="48">
        <v>46087</v>
      </c>
      <c r="F26" s="48">
        <v>46088</v>
      </c>
      <c r="G26" s="14"/>
      <c r="H26" s="4">
        <f t="shared" si="3"/>
        <v>2</v>
      </c>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row>
    <row r="27" spans="1:50" s="39" customFormat="1" ht="30" customHeight="1" thickBot="1" x14ac:dyDescent="0.3">
      <c r="A27" s="12"/>
      <c r="B27" s="40" t="s">
        <v>43</v>
      </c>
      <c r="C27" s="46" t="s">
        <v>39</v>
      </c>
      <c r="D27" s="47"/>
      <c r="E27" s="43">
        <v>46094</v>
      </c>
      <c r="F27" s="43">
        <v>46095</v>
      </c>
      <c r="G27" s="14"/>
      <c r="H27" s="4">
        <f t="shared" si="3"/>
        <v>2</v>
      </c>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row>
    <row r="28" spans="1:50" s="39" customFormat="1" ht="30" customHeight="1" thickBot="1" x14ac:dyDescent="0.3">
      <c r="A28" s="12"/>
      <c r="B28" s="40" t="s">
        <v>42</v>
      </c>
      <c r="C28" s="46" t="s">
        <v>39</v>
      </c>
      <c r="D28" s="47"/>
      <c r="E28" s="43">
        <v>46101</v>
      </c>
      <c r="F28" s="43">
        <v>46102</v>
      </c>
      <c r="G28" s="14"/>
      <c r="H28" s="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row>
    <row r="29" spans="1:50" s="39" customFormat="1" ht="30" customHeight="1" thickBot="1" x14ac:dyDescent="0.3">
      <c r="A29" s="12"/>
      <c r="B29" s="50" t="s">
        <v>69</v>
      </c>
      <c r="C29" s="51"/>
      <c r="D29" s="52"/>
      <c r="E29" s="53"/>
      <c r="F29" s="54"/>
      <c r="G29" s="14"/>
      <c r="H29" s="4" t="str">
        <f t="shared" si="3"/>
        <v/>
      </c>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row>
    <row r="30" spans="1:50" s="39" customFormat="1" ht="30" customHeight="1" thickBot="1" x14ac:dyDescent="0.3">
      <c r="A30" s="12"/>
      <c r="B30" s="55" t="s">
        <v>64</v>
      </c>
      <c r="C30" s="56" t="s">
        <v>39</v>
      </c>
      <c r="D30" s="57"/>
      <c r="E30" s="58">
        <v>46086</v>
      </c>
      <c r="F30" s="58">
        <v>46087</v>
      </c>
      <c r="G30" s="14"/>
      <c r="H30" s="4">
        <f t="shared" si="3"/>
        <v>2</v>
      </c>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row>
    <row r="31" spans="1:50" s="39" customFormat="1" ht="30" customHeight="1" thickBot="1" x14ac:dyDescent="0.3">
      <c r="A31" s="12"/>
      <c r="B31" s="55" t="s">
        <v>65</v>
      </c>
      <c r="C31" s="56" t="s">
        <v>39</v>
      </c>
      <c r="D31" s="57"/>
      <c r="E31" s="58">
        <v>46089</v>
      </c>
      <c r="F31" s="58">
        <v>46090</v>
      </c>
      <c r="G31" s="14"/>
      <c r="H31" s="4">
        <f t="shared" si="3"/>
        <v>2</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row>
    <row r="32" spans="1:50" s="39" customFormat="1" ht="30" customHeight="1" thickBot="1" x14ac:dyDescent="0.3">
      <c r="A32" s="13"/>
      <c r="B32" s="55" t="s">
        <v>66</v>
      </c>
      <c r="C32" s="56" t="s">
        <v>39</v>
      </c>
      <c r="D32" s="57"/>
      <c r="E32" s="58">
        <v>46092</v>
      </c>
      <c r="F32" s="58">
        <v>46093</v>
      </c>
      <c r="G32" s="14"/>
      <c r="H32" s="5">
        <f t="shared" si="3"/>
        <v>2</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row>
    <row r="33" spans="2:51" ht="30" customHeight="1" x14ac:dyDescent="0.25">
      <c r="B33" s="55" t="s">
        <v>67</v>
      </c>
      <c r="C33" s="56" t="s">
        <v>39</v>
      </c>
      <c r="D33" s="57"/>
      <c r="E33" s="58">
        <v>46095</v>
      </c>
      <c r="F33" s="58">
        <v>46096</v>
      </c>
      <c r="G33" s="3"/>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39"/>
    </row>
    <row r="34" spans="2:51" ht="30" customHeight="1" x14ac:dyDescent="0.25">
      <c r="B34" s="68" t="s">
        <v>53</v>
      </c>
      <c r="C34" s="69"/>
      <c r="D34" s="70"/>
      <c r="E34" s="71"/>
      <c r="F34" s="72"/>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row>
    <row r="35" spans="2:51" ht="30" customHeight="1" x14ac:dyDescent="0.25">
      <c r="B35" s="74" t="s">
        <v>32</v>
      </c>
      <c r="C35" s="75" t="s">
        <v>39</v>
      </c>
      <c r="D35" s="76"/>
      <c r="E35" s="77">
        <v>46094</v>
      </c>
      <c r="F35" s="77">
        <v>46095</v>
      </c>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row>
    <row r="36" spans="2:51" ht="30" customHeight="1" x14ac:dyDescent="0.25">
      <c r="B36" s="74" t="s">
        <v>33</v>
      </c>
      <c r="C36" s="75" t="s">
        <v>39</v>
      </c>
      <c r="D36" s="76"/>
      <c r="E36" s="77">
        <v>46095</v>
      </c>
      <c r="F36" s="77">
        <v>46096</v>
      </c>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row>
    <row r="37" spans="2:51" ht="30" customHeight="1" x14ac:dyDescent="0.25">
      <c r="B37" s="74" t="s">
        <v>34</v>
      </c>
      <c r="C37" s="75" t="s">
        <v>39</v>
      </c>
      <c r="D37" s="76"/>
      <c r="E37" s="77">
        <v>46096</v>
      </c>
      <c r="F37" s="77">
        <v>46097</v>
      </c>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row>
    <row r="38" spans="2:51" ht="30" customHeight="1" x14ac:dyDescent="0.25">
      <c r="B38" s="74" t="s">
        <v>54</v>
      </c>
      <c r="C38" s="75" t="s">
        <v>39</v>
      </c>
      <c r="D38" s="76"/>
      <c r="E38" s="77">
        <v>46097</v>
      </c>
      <c r="F38" s="77">
        <v>46098</v>
      </c>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row>
    <row r="39" spans="2:51" ht="30" customHeight="1" x14ac:dyDescent="0.25">
      <c r="B39" s="74" t="s">
        <v>55</v>
      </c>
      <c r="C39" s="75" t="s">
        <v>39</v>
      </c>
      <c r="D39" s="76"/>
      <c r="E39" s="77">
        <v>46098</v>
      </c>
      <c r="F39" s="77">
        <v>46099</v>
      </c>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row>
    <row r="40" spans="2:51" ht="30" customHeight="1" x14ac:dyDescent="0.25">
      <c r="B40" s="74" t="s">
        <v>57</v>
      </c>
      <c r="C40" s="75" t="s">
        <v>39</v>
      </c>
      <c r="D40" s="76"/>
      <c r="E40" s="77">
        <v>46099</v>
      </c>
      <c r="F40" s="77">
        <v>46100</v>
      </c>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row>
    <row r="41" spans="2:51" ht="30" customHeight="1" x14ac:dyDescent="0.25">
      <c r="B41" s="50" t="s">
        <v>30</v>
      </c>
      <c r="C41" s="51"/>
      <c r="D41" s="52"/>
      <c r="E41" s="53"/>
      <c r="F41" s="54"/>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row>
    <row r="42" spans="2:51" ht="30" customHeight="1" x14ac:dyDescent="0.25">
      <c r="B42" s="55" t="s">
        <v>35</v>
      </c>
      <c r="C42" s="56" t="s">
        <v>39</v>
      </c>
      <c r="D42" s="57"/>
      <c r="E42" s="58">
        <v>46083</v>
      </c>
      <c r="F42" s="58">
        <v>46084</v>
      </c>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row>
    <row r="43" spans="2:51" ht="30" customHeight="1" x14ac:dyDescent="0.25">
      <c r="B43" s="55" t="s">
        <v>27</v>
      </c>
      <c r="C43" s="56" t="s">
        <v>39</v>
      </c>
      <c r="D43" s="57"/>
      <c r="E43" s="58">
        <v>46080</v>
      </c>
      <c r="F43" s="58" t="s">
        <v>72</v>
      </c>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row>
    <row r="44" spans="2:51" ht="30" customHeight="1" x14ac:dyDescent="0.25">
      <c r="B44" s="55" t="s">
        <v>28</v>
      </c>
      <c r="C44" s="56" t="s">
        <v>39</v>
      </c>
      <c r="D44" s="57"/>
      <c r="E44" s="58">
        <v>46087</v>
      </c>
      <c r="F44" s="58">
        <v>46088</v>
      </c>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row>
    <row r="45" spans="2:51" ht="30" customHeight="1" x14ac:dyDescent="0.25">
      <c r="B45" s="55" t="s">
        <v>29</v>
      </c>
      <c r="C45" s="56" t="s">
        <v>39</v>
      </c>
      <c r="D45" s="57"/>
      <c r="E45" s="58">
        <v>46094</v>
      </c>
      <c r="F45" s="58">
        <v>46095</v>
      </c>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row>
    <row r="46" spans="2:51" ht="30" customHeight="1" x14ac:dyDescent="0.25">
      <c r="B46" s="55" t="s">
        <v>36</v>
      </c>
      <c r="C46" s="56" t="s">
        <v>39</v>
      </c>
      <c r="D46" s="57"/>
      <c r="E46" s="58">
        <v>46101</v>
      </c>
      <c r="F46" s="58">
        <v>46102</v>
      </c>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row>
    <row r="47" spans="2:51" ht="30" customHeight="1" x14ac:dyDescent="0.25">
      <c r="B47" s="55" t="s">
        <v>63</v>
      </c>
      <c r="C47" s="56" t="s">
        <v>39</v>
      </c>
      <c r="D47" s="57"/>
      <c r="E47" s="58">
        <v>46103</v>
      </c>
      <c r="F47" s="58">
        <v>46104</v>
      </c>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row>
    <row r="48" spans="2:51" ht="30" customHeight="1" x14ac:dyDescent="0.25">
      <c r="B48" s="59" t="s">
        <v>31</v>
      </c>
      <c r="C48" s="60"/>
      <c r="D48" s="61"/>
      <c r="E48" s="62"/>
      <c r="F48" s="6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73"/>
      <c r="AP48" s="73"/>
      <c r="AQ48" s="73"/>
      <c r="AR48" s="73"/>
      <c r="AS48" s="73"/>
      <c r="AT48" s="73"/>
      <c r="AU48" s="73"/>
      <c r="AV48" s="73"/>
      <c r="AW48" s="73"/>
      <c r="AX48" s="73"/>
    </row>
    <row r="49" spans="2:50" ht="30" customHeight="1" x14ac:dyDescent="0.25">
      <c r="B49" s="64" t="s">
        <v>46</v>
      </c>
      <c r="C49" s="65" t="s">
        <v>39</v>
      </c>
      <c r="D49" s="66"/>
      <c r="E49" s="67">
        <v>46106</v>
      </c>
      <c r="F49" s="67">
        <v>46106</v>
      </c>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row>
    <row r="50" spans="2:50" ht="30" customHeight="1" x14ac:dyDescent="0.25">
      <c r="E50"/>
    </row>
  </sheetData>
  <mergeCells count="11">
    <mergeCell ref="A5:A6"/>
    <mergeCell ref="AR4:AX4"/>
    <mergeCell ref="Q2:Z2"/>
    <mergeCell ref="Q1:Z1"/>
    <mergeCell ref="I1:O1"/>
    <mergeCell ref="I2:O2"/>
    <mergeCell ref="I4:O4"/>
    <mergeCell ref="P4:V4"/>
    <mergeCell ref="W4:AC4"/>
    <mergeCell ref="AD4:AJ4"/>
    <mergeCell ref="AK4:AQ4"/>
  </mergeCells>
  <phoneticPr fontId="28" type="noConversion"/>
  <conditionalFormatting sqref="D34:D40">
    <cfRule type="dataBar" priority="20">
      <dataBar>
        <cfvo type="num" val="0"/>
        <cfvo type="num" val="1"/>
        <color theme="0"/>
      </dataBar>
      <extLst>
        <ext xmlns:x14="http://schemas.microsoft.com/office/spreadsheetml/2009/9/main" uri="{B025F937-C7B1-47D3-B67F-A62EFF666E3E}">
          <x14:id>{C644171D-B1A7-40D3-81B0-F4404AC3D223}</x14:id>
        </ext>
      </extLst>
    </cfRule>
  </conditionalFormatting>
  <conditionalFormatting sqref="D41:D49 D6:D7 D9:D33">
    <cfRule type="dataBar" priority="5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D50">
    <cfRule type="dataBar" priority="21">
      <dataBar>
        <cfvo type="num" val="0"/>
        <cfvo type="num" val="1"/>
        <color theme="0"/>
      </dataBar>
      <extLst>
        <ext xmlns:x14="http://schemas.microsoft.com/office/spreadsheetml/2009/9/main" uri="{B025F937-C7B1-47D3-B67F-A62EFF666E3E}">
          <x14:id>{92C3A623-5F0A-4F35-B45B-45FCC70340B8}</x14:id>
        </ext>
      </extLst>
    </cfRule>
  </conditionalFormatting>
  <conditionalFormatting sqref="I9:AW49 I4:AW7">
    <cfRule type="expression" dxfId="23" priority="31">
      <formula>AND(TODAY()&gt;=I$5, TODAY()&lt;J$5)</formula>
    </cfRule>
  </conditionalFormatting>
  <conditionalFormatting sqref="I15:AW19 I42:AW46">
    <cfRule type="expression" dxfId="22" priority="35" stopIfTrue="1">
      <formula>AND(task_end&gt;=I$5,task_start&lt;J$5)</formula>
    </cfRule>
  </conditionalFormatting>
  <conditionalFormatting sqref="I20:AW22 I41:AW41 I49:AW49">
    <cfRule type="expression" dxfId="21" priority="33" stopIfTrue="1">
      <formula>AND(task_end&gt;=I$5,task_start&lt;J$5)</formula>
    </cfRule>
  </conditionalFormatting>
  <conditionalFormatting sqref="I30:AW33">
    <cfRule type="expression" dxfId="20" priority="19" stopIfTrue="1">
      <formula>AND(task_end&gt;=I$5,task_start&lt;J$5)</formula>
    </cfRule>
  </conditionalFormatting>
  <conditionalFormatting sqref="I35:AW40">
    <cfRule type="expression" dxfId="19" priority="4" stopIfTrue="1">
      <formula>AND(task_end&gt;=I$5,task_start&lt;J$5)</formula>
    </cfRule>
  </conditionalFormatting>
  <conditionalFormatting sqref="I47:AW47">
    <cfRule type="expression" dxfId="18" priority="2" stopIfTrue="1">
      <formula>AND(task_end&gt;=I$5,task_start&lt;J$5)</formula>
    </cfRule>
  </conditionalFormatting>
  <conditionalFormatting sqref="I9:AX13 I24:AX28">
    <cfRule type="expression" dxfId="17" priority="37" stopIfTrue="1">
      <formula>AND(task_end&gt;=I$5,task_start&lt;J$5)</formula>
    </cfRule>
  </conditionalFormatting>
  <conditionalFormatting sqref="I15:AX19">
    <cfRule type="expression" dxfId="16" priority="34">
      <formula>AND(task_start&lt;=I$5,ROUNDDOWN((task_end-task_start+1)*task_progress,0)+task_start-1&gt;=I$5)</formula>
    </cfRule>
  </conditionalFormatting>
  <conditionalFormatting sqref="I20:AX22 I41:AX41">
    <cfRule type="expression" dxfId="15" priority="32">
      <formula>AND(task_start&lt;=I$5,ROUNDDOWN((task_end-task_start+1)*task_progress,0)+task_start-1&gt;=I$5)</formula>
    </cfRule>
  </conditionalFormatting>
  <conditionalFormatting sqref="I24:AX28 I9:AX13">
    <cfRule type="expression" dxfId="14" priority="36">
      <formula>AND(task_start&lt;=I$5,ROUNDDOWN((task_end-task_start+1)*task_progress,0)+task_start-1&gt;=I$5)</formula>
    </cfRule>
  </conditionalFormatting>
  <conditionalFormatting sqref="I24:AX28">
    <cfRule type="expression" dxfId="13" priority="7">
      <formula>AND(task_start&lt;=I$5,ROUNDDOWN((task_end-task_start+1)*task_progress,0)+task_start-1&gt;=I$5)</formula>
    </cfRule>
    <cfRule type="expression" dxfId="12" priority="8" stopIfTrue="1">
      <formula>AND(task_end&gt;=I$5,task_start&lt;#REF!)</formula>
    </cfRule>
  </conditionalFormatting>
  <conditionalFormatting sqref="I30:AX33">
    <cfRule type="expression" dxfId="11" priority="18">
      <formula>AND(task_start&lt;=I$5,ROUNDDOWN((task_end-task_start+1)*task_progress,0)+task_start-1&gt;=I$5)</formula>
    </cfRule>
  </conditionalFormatting>
  <conditionalFormatting sqref="I35:AX40">
    <cfRule type="expression" dxfId="10" priority="3">
      <formula>AND(task_start&lt;=I$5,ROUNDDOWN((task_end-task_start+1)*task_progress,0)+task_start-1&gt;=I$5)</formula>
    </cfRule>
  </conditionalFormatting>
  <conditionalFormatting sqref="I42:AX47">
    <cfRule type="expression" dxfId="9" priority="1">
      <formula>AND(task_start&lt;=I$5,ROUNDDOWN((task_end-task_start+1)*task_progress,0)+task_start-1&gt;=I$5)</formula>
    </cfRule>
  </conditionalFormatting>
  <conditionalFormatting sqref="I49:AX49">
    <cfRule type="expression" dxfId="8" priority="12">
      <formula>AND(task_start&lt;=I$5,ROUNDDOWN((task_end-task_start+1)*task_progress,0)+task_start-1&gt;=I$5)</formula>
    </cfRule>
  </conditionalFormatting>
  <conditionalFormatting sqref="AX9:AX13">
    <cfRule type="expression" dxfId="7" priority="65">
      <formula>AND(task_start&lt;=AX$5,ROUNDDOWN((task_end-task_start+1)*task_progress,0)+task_start-1&gt;=AX$5)</formula>
    </cfRule>
    <cfRule type="expression" dxfId="6" priority="66" stopIfTrue="1">
      <formula>AND(task_end&gt;=AX$5,task_start&lt;#REF!)</formula>
    </cfRule>
  </conditionalFormatting>
  <conditionalFormatting sqref="AX15:AX19 AX44:AX47">
    <cfRule type="expression" dxfId="5" priority="70" stopIfTrue="1">
      <formula>AND(task_end&gt;=AX$5,task_start&lt;#REF!)</formula>
    </cfRule>
  </conditionalFormatting>
  <conditionalFormatting sqref="AX20:AX22 AX41 AX49">
    <cfRule type="expression" dxfId="4" priority="74" stopIfTrue="1">
      <formula>AND(task_end&gt;=AX$5,task_start&lt;#REF!)</formula>
    </cfRule>
  </conditionalFormatting>
  <conditionalFormatting sqref="AX30:AX33">
    <cfRule type="expression" dxfId="3" priority="86" stopIfTrue="1">
      <formula>AND(task_end&gt;=AX$5,task_start&lt;#REF!)</formula>
    </cfRule>
  </conditionalFormatting>
  <conditionalFormatting sqref="AX35:AX40">
    <cfRule type="expression" dxfId="2" priority="82" stopIfTrue="1">
      <formula>AND(task_end&gt;=AX$5,task_start&lt;#REF!)</formula>
    </cfRule>
  </conditionalFormatting>
  <conditionalFormatting sqref="AX42:AX43">
    <cfRule type="expression" dxfId="1" priority="9">
      <formula>AND(TODAY()&gt;=AX$5, TODAY()&lt;AY$5)</formula>
    </cfRule>
    <cfRule type="expression" dxfId="0" priority="11" stopIfTrue="1">
      <formula>AND(task_end&gt;=AX$5,task_start&lt;AY$5)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9"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1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4:A2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2" xr:uid="{79B9237E-4DD3-4E0F-8ED6-E0B695A99D96}"/>
  </dataValidations>
  <printOptions horizontalCentered="1"/>
  <pageMargins left="0.35" right="0.35" top="0.35" bottom="0.5" header="0.3" footer="0.3"/>
  <pageSetup scale="38"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C644171D-B1A7-40D3-81B0-F4404AC3D223}">
            <x14:dataBar minLength="0" maxLength="100" gradient="0">
              <x14:cfvo type="num">
                <xm:f>0</xm:f>
              </x14:cfvo>
              <x14:cfvo type="num">
                <xm:f>1</xm:f>
              </x14:cfvo>
              <x14:negativeFillColor rgb="FFFF0000"/>
              <x14:axisColor rgb="FF000000"/>
            </x14:dataBar>
          </x14:cfRule>
          <xm:sqref>D34:D40</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D41:D49 D6:D7 D9:D33</xm:sqref>
        </x14:conditionalFormatting>
        <x14:conditionalFormatting xmlns:xm="http://schemas.microsoft.com/office/excel/2006/main">
          <x14:cfRule type="dataBar" id="{92C3A623-5F0A-4F35-B45B-45FCC70340B8}">
            <x14:dataBar minLength="0" maxLength="100" gradient="0">
              <x14:cfvo type="num">
                <xm:f>0</xm:f>
              </x14:cfvo>
              <x14:cfvo type="num">
                <xm:f>1</xm:f>
              </x14:cfvo>
              <x14:negativeFillColor rgb="FFFF0000"/>
              <x14:axisColor rgb="FF000000"/>
            </x14:dataBar>
          </x14:cfRule>
          <xm:sqref>D50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election activeCell="A6" sqref="A6"/>
    </sheetView>
  </sheetViews>
  <sheetFormatPr defaultColWidth="9" defaultRowHeight="13.2" x14ac:dyDescent="0.25"/>
  <cols>
    <col min="1" max="1" width="87" style="6" customWidth="1"/>
    <col min="2" max="16384" width="9" style="1"/>
  </cols>
  <sheetData>
    <row r="1" spans="1:2" ht="46.5" customHeight="1" x14ac:dyDescent="0.25"/>
    <row r="2" spans="1:2" s="8" customFormat="1" ht="15.6" x14ac:dyDescent="0.25">
      <c r="A2" s="81" t="s">
        <v>7</v>
      </c>
      <c r="B2" s="7"/>
    </row>
    <row r="3" spans="1:2" s="10" customFormat="1" ht="27" customHeight="1" x14ac:dyDescent="0.25">
      <c r="A3" s="82"/>
      <c r="B3" s="11"/>
    </row>
    <row r="4" spans="1:2" s="9" customFormat="1" ht="30" x14ac:dyDescent="0.7">
      <c r="A4" s="83" t="s">
        <v>6</v>
      </c>
    </row>
    <row r="5" spans="1:2" ht="74.25" customHeight="1" x14ac:dyDescent="0.25">
      <c r="A5" s="84" t="s">
        <v>14</v>
      </c>
    </row>
    <row r="6" spans="1:2" ht="26.25" customHeight="1" x14ac:dyDescent="0.25">
      <c r="A6" s="83" t="s">
        <v>17</v>
      </c>
    </row>
    <row r="7" spans="1:2" s="6" customFormat="1" ht="205.05" customHeight="1" x14ac:dyDescent="0.25">
      <c r="A7" s="85" t="s">
        <v>16</v>
      </c>
    </row>
    <row r="8" spans="1:2" s="9" customFormat="1" ht="30" x14ac:dyDescent="0.7">
      <c r="A8" s="83" t="s">
        <v>8</v>
      </c>
    </row>
    <row r="9" spans="1:2" ht="41.4" x14ac:dyDescent="0.25">
      <c r="A9" s="84" t="s">
        <v>15</v>
      </c>
    </row>
    <row r="10" spans="1:2" s="6" customFormat="1" ht="28.05" customHeight="1" x14ac:dyDescent="0.25">
      <c r="A10" s="86" t="s">
        <v>13</v>
      </c>
    </row>
    <row r="11" spans="1:2" s="9" customFormat="1" ht="30" x14ac:dyDescent="0.7">
      <c r="A11" s="83" t="s">
        <v>5</v>
      </c>
    </row>
    <row r="12" spans="1:2" ht="27.6" x14ac:dyDescent="0.25">
      <c r="A12" s="84" t="s">
        <v>12</v>
      </c>
    </row>
    <row r="13" spans="1:2" s="6" customFormat="1" ht="28.05" customHeight="1" x14ac:dyDescent="0.25">
      <c r="A13" s="86" t="s">
        <v>1</v>
      </c>
    </row>
    <row r="14" spans="1:2" s="9" customFormat="1" ht="30" x14ac:dyDescent="0.7">
      <c r="A14" s="83" t="s">
        <v>9</v>
      </c>
    </row>
    <row r="15" spans="1:2" ht="75" customHeight="1" x14ac:dyDescent="0.25">
      <c r="A15" s="84" t="s">
        <v>10</v>
      </c>
    </row>
    <row r="16" spans="1:2" ht="69" x14ac:dyDescent="0.25">
      <c r="A16" s="84" t="s">
        <v>11</v>
      </c>
    </row>
    <row r="17" spans="1:1" x14ac:dyDescent="0.25">
      <c r="A17" s="87"/>
    </row>
    <row r="18" spans="1:1" x14ac:dyDescent="0.25">
      <c r="A18" s="87"/>
    </row>
    <row r="19" spans="1:1" x14ac:dyDescent="0.25">
      <c r="A19" s="87"/>
    </row>
    <row r="20" spans="1:1" x14ac:dyDescent="0.25">
      <c r="A20" s="87"/>
    </row>
    <row r="21" spans="1:1" x14ac:dyDescent="0.25">
      <c r="A21" s="87"/>
    </row>
    <row r="22" spans="1:1" x14ac:dyDescent="0.25">
      <c r="A22" s="87"/>
    </row>
    <row r="23" spans="1:1" x14ac:dyDescent="0.25">
      <c r="A23" s="87"/>
    </row>
    <row r="24" spans="1:1" x14ac:dyDescent="0.25">
      <c r="A24" s="8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terms/"/>
    <ds:schemaRef ds:uri="http://purl.org/dc/elements/1.1/"/>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230e9df3-be65-4c73-a93b-d1236ebd677e"/>
    <ds:schemaRef ds:uri="16c05727-aa75-4e4a-9b5f-8a80a1165891"/>
    <ds:schemaRef ds:uri="71af3243-3dd4-4a8d-8c0d-dd76da1f02a5"/>
    <ds:schemaRef ds:uri="http://www.w3.org/XML/1998/namespace"/>
    <ds:schemaRef ds:uri="http://purl.org/dc/dcmitype/"/>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Noah Morland</dc:creator>
  <dc:description/>
  <cp:lastModifiedBy>Noah Morland</cp:lastModifiedBy>
  <cp:lastPrinted>2026-02-27T02:51:57Z</cp:lastPrinted>
  <dcterms:created xsi:type="dcterms:W3CDTF">2022-03-11T22:41:12Z</dcterms:created>
  <dcterms:modified xsi:type="dcterms:W3CDTF">2026-03-06T20:34:21Z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